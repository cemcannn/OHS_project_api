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cemcan/Desktop/Veri/2025/"/>
    </mc:Choice>
  </mc:AlternateContent>
  <xr:revisionPtr revIDLastSave="0" documentId="13_ncr:1_{964E985A-FCF8-8B40-A898-DA5249154358}" xr6:coauthVersionLast="47" xr6:coauthVersionMax="47" xr10:uidLastSave="{00000000-0000-0000-0000-000000000000}"/>
  <bookViews>
    <workbookView xWindow="11360" yWindow="-21000" windowWidth="19220" windowHeight="18460" tabRatio="500" xr2:uid="{00000000-000D-0000-FFFF-FFFF00000000}"/>
  </bookViews>
  <sheets>
    <sheet name="veri" sheetId="1" r:id="rId1"/>
    <sheet name="program" sheetId="2" r:id="rId2"/>
    <sheet name="kontrol" sheetId="3" r:id="rId3"/>
    <sheet name="Genel" sheetId="4" r:id="rId4"/>
    <sheet name="kazatürü" sheetId="5" r:id="rId5"/>
    <sheet name="kazatürüyer" sheetId="6" r:id="rId6"/>
    <sheet name="sanatyer" sheetId="7" r:id="rId7"/>
    <sheet name="sanatkazatürü" sheetId="8" r:id="rId8"/>
    <sheet name="kazatürüuzuv" sheetId="9" r:id="rId9"/>
    <sheet name="elletasima" sheetId="10" r:id="rId10"/>
    <sheet name="göcük" sheetId="11" r:id="rId11"/>
    <sheet name="düsme" sheetId="12" r:id="rId12"/>
    <sheet name="zaman" sheetId="13" r:id="rId13"/>
    <sheet name="uzuvgün" sheetId="14" r:id="rId14"/>
    <sheet name="yas" sheetId="15" r:id="rId15"/>
    <sheet name="Kod Eşleştirme" sheetId="16" r:id="rId16"/>
  </sheets>
  <definedNames>
    <definedName name="Do?um_tarihi">program!$A$7</definedName>
    <definedName name="Doðum_tarihi">program!$FZ$1</definedName>
    <definedName name="Excel_BuiltIn__FilterDatabase" localSheetId="1">program!$F$1:$F$300</definedName>
    <definedName name="Excel_BuiltIn__FilterDatabase" localSheetId="0">veri!$A$1:$K$138</definedName>
    <definedName name="Gün_Kayıbı">program!$H$1</definedName>
    <definedName name="Gün_kayýbý">program!$FW$1</definedName>
    <definedName name="Kaza_tarihi">program!#REF!</definedName>
    <definedName name="sanat_neden">program!$GD$1</definedName>
    <definedName name="_xlnm.Print_Area" localSheetId="0">veri!$A$1:$L$48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16" i="1" l="1"/>
  <c r="S15" i="1"/>
  <c r="S14" i="1"/>
  <c r="R17" i="1"/>
  <c r="C18" i="4" s="1"/>
  <c r="C19" i="4" s="1"/>
  <c r="Q17" i="1"/>
  <c r="S12" i="1"/>
  <c r="S11" i="1"/>
  <c r="S10" i="1"/>
  <c r="S8" i="1"/>
  <c r="S7" i="1"/>
  <c r="S6" i="1"/>
  <c r="S4" i="1"/>
  <c r="S3" i="1"/>
  <c r="S2" i="1"/>
  <c r="S17" i="1" s="1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H8" i="14"/>
  <c r="F8" i="14"/>
  <c r="B8" i="14"/>
  <c r="H7" i="14"/>
  <c r="F7" i="14"/>
  <c r="B7" i="14"/>
  <c r="H6" i="14"/>
  <c r="F6" i="14"/>
  <c r="B6" i="14"/>
  <c r="H5" i="14"/>
  <c r="F5" i="14"/>
  <c r="B5" i="14"/>
  <c r="H4" i="14"/>
  <c r="F4" i="14"/>
  <c r="B4" i="14"/>
  <c r="CD11" i="12"/>
  <c r="CC11" i="12"/>
  <c r="CB11" i="12"/>
  <c r="CA11" i="12"/>
  <c r="BZ11" i="12"/>
  <c r="BY11" i="12"/>
  <c r="BX11" i="12"/>
  <c r="BW11" i="12"/>
  <c r="BV11" i="12"/>
  <c r="BU11" i="12"/>
  <c r="BT11" i="12"/>
  <c r="BS11" i="12"/>
  <c r="BR11" i="12"/>
  <c r="BQ11" i="12"/>
  <c r="BP11" i="12"/>
  <c r="BO11" i="12"/>
  <c r="BN11" i="12"/>
  <c r="BM11" i="12"/>
  <c r="BL11" i="12"/>
  <c r="BK11" i="12"/>
  <c r="BJ11" i="12"/>
  <c r="BI11" i="12"/>
  <c r="BH11" i="12"/>
  <c r="BG11" i="12"/>
  <c r="BF11" i="12"/>
  <c r="BE11" i="12"/>
  <c r="BD11" i="12"/>
  <c r="BC11" i="12"/>
  <c r="BB11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CD10" i="12"/>
  <c r="CC10" i="12"/>
  <c r="CB10" i="12"/>
  <c r="CA10" i="12"/>
  <c r="BZ10" i="12"/>
  <c r="BY10" i="12"/>
  <c r="BX10" i="12"/>
  <c r="BW10" i="12"/>
  <c r="BV10" i="12"/>
  <c r="BU10" i="12"/>
  <c r="BT10" i="12"/>
  <c r="BS10" i="12"/>
  <c r="BR10" i="12"/>
  <c r="BQ10" i="12"/>
  <c r="BP10" i="12"/>
  <c r="BO10" i="12"/>
  <c r="BN10" i="12"/>
  <c r="BM10" i="12"/>
  <c r="BL10" i="12"/>
  <c r="BK10" i="12"/>
  <c r="BJ10" i="12"/>
  <c r="BI10" i="12"/>
  <c r="BH10" i="12"/>
  <c r="BG10" i="12"/>
  <c r="BF10" i="12"/>
  <c r="BE10" i="12"/>
  <c r="BD10" i="12"/>
  <c r="BC10" i="12"/>
  <c r="BB10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CD9" i="12"/>
  <c r="CC9" i="12"/>
  <c r="CB9" i="12"/>
  <c r="CA9" i="12"/>
  <c r="BZ9" i="12"/>
  <c r="BY9" i="12"/>
  <c r="BX9" i="12"/>
  <c r="BW9" i="12"/>
  <c r="BV9" i="12"/>
  <c r="BU9" i="12"/>
  <c r="BT9" i="12"/>
  <c r="BS9" i="12"/>
  <c r="BR9" i="12"/>
  <c r="BQ9" i="12"/>
  <c r="BP9" i="12"/>
  <c r="BO9" i="12"/>
  <c r="BN9" i="12"/>
  <c r="BM9" i="12"/>
  <c r="BL9" i="12"/>
  <c r="BK9" i="12"/>
  <c r="BJ9" i="12"/>
  <c r="BI9" i="12"/>
  <c r="BH9" i="12"/>
  <c r="BG9" i="12"/>
  <c r="BF9" i="12"/>
  <c r="BE9" i="12"/>
  <c r="BD9" i="12"/>
  <c r="BC9" i="12"/>
  <c r="BB9" i="12"/>
  <c r="BA9" i="12"/>
  <c r="AZ9" i="12"/>
  <c r="AY9" i="12"/>
  <c r="AX9" i="12"/>
  <c r="AW9" i="12"/>
  <c r="AV9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CD8" i="12"/>
  <c r="CC8" i="12"/>
  <c r="CB8" i="12"/>
  <c r="CA8" i="12"/>
  <c r="BZ8" i="12"/>
  <c r="BY8" i="12"/>
  <c r="BX8" i="12"/>
  <c r="BW8" i="12"/>
  <c r="BV8" i="12"/>
  <c r="BU8" i="12"/>
  <c r="BT8" i="12"/>
  <c r="BS8" i="12"/>
  <c r="BR8" i="12"/>
  <c r="BQ8" i="12"/>
  <c r="BP8" i="12"/>
  <c r="BO8" i="12"/>
  <c r="BN8" i="12"/>
  <c r="BM8" i="12"/>
  <c r="BL8" i="12"/>
  <c r="BK8" i="12"/>
  <c r="BJ8" i="12"/>
  <c r="BI8" i="12"/>
  <c r="BH8" i="12"/>
  <c r="BG8" i="12"/>
  <c r="BF8" i="12"/>
  <c r="BE8" i="12"/>
  <c r="BD8" i="12"/>
  <c r="BC8" i="12"/>
  <c r="BB8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B8" i="12"/>
  <c r="CD7" i="12"/>
  <c r="CC7" i="12"/>
  <c r="CB7" i="12"/>
  <c r="CA7" i="12"/>
  <c r="BZ7" i="12"/>
  <c r="BY7" i="12"/>
  <c r="BX7" i="12"/>
  <c r="BW7" i="12"/>
  <c r="BV7" i="12"/>
  <c r="BU7" i="12"/>
  <c r="BT7" i="12"/>
  <c r="BS7" i="12"/>
  <c r="BR7" i="12"/>
  <c r="BQ7" i="12"/>
  <c r="BP7" i="12"/>
  <c r="BO7" i="12"/>
  <c r="BN7" i="12"/>
  <c r="BM7" i="12"/>
  <c r="BL7" i="12"/>
  <c r="BK7" i="12"/>
  <c r="BJ7" i="12"/>
  <c r="BI7" i="12"/>
  <c r="BH7" i="12"/>
  <c r="BG7" i="12"/>
  <c r="BF7" i="12"/>
  <c r="BE7" i="12"/>
  <c r="BD7" i="12"/>
  <c r="BC7" i="12"/>
  <c r="BB7" i="12"/>
  <c r="BA7" i="12"/>
  <c r="AZ7" i="12"/>
  <c r="AY7" i="12"/>
  <c r="AX7" i="12"/>
  <c r="AW7" i="12"/>
  <c r="AV7" i="12"/>
  <c r="AU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CD5" i="12"/>
  <c r="CC5" i="12"/>
  <c r="CB5" i="12"/>
  <c r="CA5" i="12"/>
  <c r="BZ5" i="12"/>
  <c r="BY5" i="12"/>
  <c r="BX5" i="12"/>
  <c r="BW5" i="12"/>
  <c r="BV5" i="12"/>
  <c r="BU5" i="12"/>
  <c r="BT5" i="12"/>
  <c r="BS5" i="12"/>
  <c r="BR5" i="12"/>
  <c r="BQ5" i="12"/>
  <c r="BP5" i="12"/>
  <c r="BO5" i="12"/>
  <c r="BN5" i="12"/>
  <c r="BM5" i="12"/>
  <c r="BL5" i="12"/>
  <c r="BK5" i="12"/>
  <c r="BJ5" i="12"/>
  <c r="BI5" i="12"/>
  <c r="BH5" i="12"/>
  <c r="BG5" i="12"/>
  <c r="BF5" i="12"/>
  <c r="BE5" i="12"/>
  <c r="BD5" i="12"/>
  <c r="BC5" i="12"/>
  <c r="BB5" i="12"/>
  <c r="BA5" i="12"/>
  <c r="AZ5" i="12"/>
  <c r="AY5" i="12"/>
  <c r="AX5" i="12"/>
  <c r="AW5" i="12"/>
  <c r="AV5" i="12"/>
  <c r="AU5" i="12"/>
  <c r="AT5" i="12"/>
  <c r="AS5" i="12"/>
  <c r="AR5" i="12"/>
  <c r="AQ5" i="12"/>
  <c r="AP5" i="12"/>
  <c r="AO5" i="12"/>
  <c r="AN5" i="12"/>
  <c r="AM5" i="12"/>
  <c r="AL5" i="12"/>
  <c r="AK5" i="12"/>
  <c r="AJ5" i="12"/>
  <c r="AI5" i="12"/>
  <c r="AH5" i="12"/>
  <c r="AG5" i="12"/>
  <c r="AF5" i="12"/>
  <c r="AE5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5" i="12"/>
  <c r="CD4" i="12"/>
  <c r="CD12" i="12" s="1"/>
  <c r="CC4" i="12"/>
  <c r="CC12" i="12" s="1"/>
  <c r="CB4" i="12"/>
  <c r="CA4" i="12"/>
  <c r="CA12" i="12" s="1"/>
  <c r="BZ4" i="12"/>
  <c r="BZ12" i="12" s="1"/>
  <c r="BY4" i="12"/>
  <c r="BY12" i="12" s="1"/>
  <c r="BX4" i="12"/>
  <c r="BX12" i="12" s="1"/>
  <c r="BW4" i="12"/>
  <c r="BW12" i="12" s="1"/>
  <c r="BV4" i="12"/>
  <c r="BV12" i="12" s="1"/>
  <c r="BU4" i="12"/>
  <c r="BU12" i="12" s="1"/>
  <c r="BT4" i="12"/>
  <c r="BS4" i="12"/>
  <c r="BS12" i="12" s="1"/>
  <c r="BR4" i="12"/>
  <c r="BR12" i="12" s="1"/>
  <c r="BQ4" i="12"/>
  <c r="BP4" i="12"/>
  <c r="BP12" i="12" s="1"/>
  <c r="BO4" i="12"/>
  <c r="BO12" i="12" s="1"/>
  <c r="BN4" i="12"/>
  <c r="BN12" i="12" s="1"/>
  <c r="BM4" i="12"/>
  <c r="BM12" i="12" s="1"/>
  <c r="BL4" i="12"/>
  <c r="BK4" i="12"/>
  <c r="BK12" i="12" s="1"/>
  <c r="BJ4" i="12"/>
  <c r="BJ12" i="12" s="1"/>
  <c r="BI4" i="12"/>
  <c r="BH4" i="12"/>
  <c r="BH12" i="12" s="1"/>
  <c r="BG4" i="12"/>
  <c r="BG12" i="12" s="1"/>
  <c r="BF4" i="12"/>
  <c r="BF12" i="12" s="1"/>
  <c r="BE4" i="12"/>
  <c r="BE12" i="12" s="1"/>
  <c r="BD4" i="12"/>
  <c r="BC4" i="12"/>
  <c r="BC12" i="12" s="1"/>
  <c r="BB4" i="12"/>
  <c r="BB12" i="12" s="1"/>
  <c r="BA4" i="12"/>
  <c r="AZ4" i="12"/>
  <c r="AZ12" i="12" s="1"/>
  <c r="AY4" i="12"/>
  <c r="AY12" i="12" s="1"/>
  <c r="AX4" i="12"/>
  <c r="AX12" i="12" s="1"/>
  <c r="AW4" i="12"/>
  <c r="AW12" i="12" s="1"/>
  <c r="AV4" i="12"/>
  <c r="AU4" i="12"/>
  <c r="AU12" i="12" s="1"/>
  <c r="AT4" i="12"/>
  <c r="AT12" i="12" s="1"/>
  <c r="AS4" i="12"/>
  <c r="AR4" i="12"/>
  <c r="AR12" i="12" s="1"/>
  <c r="AQ4" i="12"/>
  <c r="AQ12" i="12" s="1"/>
  <c r="AP4" i="12"/>
  <c r="AP12" i="12" s="1"/>
  <c r="AO4" i="12"/>
  <c r="AO12" i="12" s="1"/>
  <c r="AN4" i="12"/>
  <c r="AM4" i="12"/>
  <c r="AM12" i="12" s="1"/>
  <c r="AL4" i="12"/>
  <c r="AL12" i="12" s="1"/>
  <c r="AK4" i="12"/>
  <c r="AJ4" i="12"/>
  <c r="AI4" i="12"/>
  <c r="AI12" i="12" s="1"/>
  <c r="AH4" i="12"/>
  <c r="AH12" i="12" s="1"/>
  <c r="AG4" i="12"/>
  <c r="AG12" i="12" s="1"/>
  <c r="AF4" i="12"/>
  <c r="AE4" i="12"/>
  <c r="AE12" i="12" s="1"/>
  <c r="AD4" i="12"/>
  <c r="AD12" i="12" s="1"/>
  <c r="AC4" i="12"/>
  <c r="AC12" i="12" s="1"/>
  <c r="AB4" i="12"/>
  <c r="AA4" i="12"/>
  <c r="AA12" i="12" s="1"/>
  <c r="Z4" i="12"/>
  <c r="Z12" i="12" s="1"/>
  <c r="Y4" i="12"/>
  <c r="Y12" i="12" s="1"/>
  <c r="X4" i="12"/>
  <c r="W4" i="12"/>
  <c r="W12" i="12" s="1"/>
  <c r="V4" i="12"/>
  <c r="V12" i="12" s="1"/>
  <c r="U4" i="12"/>
  <c r="U12" i="12" s="1"/>
  <c r="T4" i="12"/>
  <c r="T12" i="12" s="1"/>
  <c r="S4" i="12"/>
  <c r="S12" i="12" s="1"/>
  <c r="R4" i="12"/>
  <c r="R12" i="12" s="1"/>
  <c r="Q4" i="12"/>
  <c r="Q12" i="12" s="1"/>
  <c r="P4" i="12"/>
  <c r="O4" i="12"/>
  <c r="O12" i="12" s="1"/>
  <c r="N4" i="12"/>
  <c r="N12" i="12" s="1"/>
  <c r="M4" i="12"/>
  <c r="M12" i="12" s="1"/>
  <c r="L4" i="12"/>
  <c r="L12" i="12" s="1"/>
  <c r="K4" i="12"/>
  <c r="K12" i="12" s="1"/>
  <c r="J4" i="12"/>
  <c r="J12" i="12" s="1"/>
  <c r="I4" i="12"/>
  <c r="I12" i="12" s="1"/>
  <c r="H4" i="12"/>
  <c r="G4" i="12"/>
  <c r="G12" i="12" s="1"/>
  <c r="F4" i="12"/>
  <c r="F12" i="12" s="1"/>
  <c r="E4" i="12"/>
  <c r="D4" i="12"/>
  <c r="D12" i="12" s="1"/>
  <c r="C4" i="12"/>
  <c r="C12" i="12" s="1"/>
  <c r="B4" i="12"/>
  <c r="B12" i="12" s="1"/>
  <c r="CD12" i="11"/>
  <c r="CC12" i="11"/>
  <c r="CB12" i="11"/>
  <c r="CA12" i="11"/>
  <c r="BZ12" i="11"/>
  <c r="BY12" i="11"/>
  <c r="BX12" i="11"/>
  <c r="BW12" i="11"/>
  <c r="BV12" i="11"/>
  <c r="BU12" i="11"/>
  <c r="BT12" i="11"/>
  <c r="BS12" i="11"/>
  <c r="BR12" i="11"/>
  <c r="BQ12" i="11"/>
  <c r="BP12" i="11"/>
  <c r="BO12" i="11"/>
  <c r="BN12" i="11"/>
  <c r="BM12" i="11"/>
  <c r="BL12" i="11"/>
  <c r="BK12" i="11"/>
  <c r="BJ12" i="11"/>
  <c r="BI12" i="11"/>
  <c r="BH12" i="11"/>
  <c r="BG12" i="11"/>
  <c r="BF12" i="11"/>
  <c r="BE12" i="11"/>
  <c r="BD12" i="11"/>
  <c r="BC12" i="11"/>
  <c r="BB12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CD11" i="11"/>
  <c r="CC11" i="11"/>
  <c r="CB11" i="11"/>
  <c r="CA11" i="11"/>
  <c r="BZ11" i="11"/>
  <c r="BY11" i="11"/>
  <c r="BX11" i="11"/>
  <c r="BW11" i="11"/>
  <c r="BV11" i="11"/>
  <c r="BU11" i="11"/>
  <c r="BT11" i="11"/>
  <c r="BS11" i="11"/>
  <c r="BR11" i="11"/>
  <c r="BQ11" i="11"/>
  <c r="BP11" i="11"/>
  <c r="BO11" i="11"/>
  <c r="BN11" i="11"/>
  <c r="BM11" i="11"/>
  <c r="BL11" i="11"/>
  <c r="BK11" i="11"/>
  <c r="BJ11" i="11"/>
  <c r="BI11" i="11"/>
  <c r="BH11" i="11"/>
  <c r="BG11" i="11"/>
  <c r="BF11" i="11"/>
  <c r="BE11" i="11"/>
  <c r="BD11" i="11"/>
  <c r="BC11" i="11"/>
  <c r="BB11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CD10" i="11"/>
  <c r="CC10" i="11"/>
  <c r="CB10" i="11"/>
  <c r="CA10" i="11"/>
  <c r="BZ10" i="11"/>
  <c r="BY10" i="11"/>
  <c r="BX10" i="11"/>
  <c r="BW10" i="11"/>
  <c r="BV10" i="11"/>
  <c r="BU10" i="11"/>
  <c r="BT10" i="11"/>
  <c r="BS10" i="11"/>
  <c r="BR10" i="11"/>
  <c r="BQ10" i="11"/>
  <c r="BP10" i="11"/>
  <c r="BO10" i="11"/>
  <c r="BN10" i="11"/>
  <c r="BM10" i="11"/>
  <c r="BL10" i="11"/>
  <c r="BK10" i="11"/>
  <c r="BJ10" i="11"/>
  <c r="BI10" i="11"/>
  <c r="BH10" i="11"/>
  <c r="BG10" i="11"/>
  <c r="BF10" i="11"/>
  <c r="BE10" i="11"/>
  <c r="BD10" i="11"/>
  <c r="BC10" i="11"/>
  <c r="BB10" i="11"/>
  <c r="BA10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CD9" i="11"/>
  <c r="CC9" i="11"/>
  <c r="CB9" i="11"/>
  <c r="CA9" i="11"/>
  <c r="BZ9" i="11"/>
  <c r="BY9" i="11"/>
  <c r="BX9" i="11"/>
  <c r="BW9" i="11"/>
  <c r="BV9" i="11"/>
  <c r="BU9" i="11"/>
  <c r="BT9" i="11"/>
  <c r="BS9" i="11"/>
  <c r="BR9" i="11"/>
  <c r="BQ9" i="11"/>
  <c r="BP9" i="11"/>
  <c r="BO9" i="11"/>
  <c r="BN9" i="11"/>
  <c r="BM9" i="11"/>
  <c r="BL9" i="11"/>
  <c r="BK9" i="11"/>
  <c r="BJ9" i="11"/>
  <c r="BI9" i="11"/>
  <c r="BH9" i="11"/>
  <c r="BG9" i="11"/>
  <c r="BF9" i="11"/>
  <c r="BE9" i="11"/>
  <c r="BD9" i="11"/>
  <c r="BC9" i="11"/>
  <c r="BB9" i="11"/>
  <c r="BA9" i="11"/>
  <c r="AZ9" i="11"/>
  <c r="AY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CD8" i="11"/>
  <c r="CC8" i="11"/>
  <c r="CB8" i="11"/>
  <c r="CA8" i="11"/>
  <c r="BZ8" i="11"/>
  <c r="BY8" i="11"/>
  <c r="BX8" i="11"/>
  <c r="BW8" i="11"/>
  <c r="BV8" i="11"/>
  <c r="BU8" i="11"/>
  <c r="BT8" i="11"/>
  <c r="BS8" i="11"/>
  <c r="BR8" i="11"/>
  <c r="BQ8" i="11"/>
  <c r="BP8" i="11"/>
  <c r="BO8" i="11"/>
  <c r="BN8" i="11"/>
  <c r="BM8" i="11"/>
  <c r="BL8" i="11"/>
  <c r="BK8" i="11"/>
  <c r="BJ8" i="11"/>
  <c r="BI8" i="11"/>
  <c r="BH8" i="11"/>
  <c r="BG8" i="11"/>
  <c r="BF8" i="11"/>
  <c r="BE8" i="11"/>
  <c r="BD8" i="11"/>
  <c r="BC8" i="11"/>
  <c r="BB8" i="11"/>
  <c r="BA8" i="11"/>
  <c r="AZ8" i="11"/>
  <c r="AY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CD7" i="11"/>
  <c r="CC7" i="11"/>
  <c r="CB7" i="11"/>
  <c r="CA7" i="11"/>
  <c r="BZ7" i="11"/>
  <c r="BY7" i="11"/>
  <c r="BX7" i="11"/>
  <c r="BW7" i="11"/>
  <c r="BV7" i="11"/>
  <c r="BU7" i="11"/>
  <c r="BT7" i="11"/>
  <c r="BS7" i="11"/>
  <c r="BR7" i="11"/>
  <c r="BQ7" i="11"/>
  <c r="BP7" i="11"/>
  <c r="BO7" i="11"/>
  <c r="BN7" i="11"/>
  <c r="BM7" i="11"/>
  <c r="BL7" i="11"/>
  <c r="BK7" i="11"/>
  <c r="BJ7" i="11"/>
  <c r="BI7" i="11"/>
  <c r="BH7" i="11"/>
  <c r="BG7" i="11"/>
  <c r="BF7" i="11"/>
  <c r="BE7" i="11"/>
  <c r="BD7" i="11"/>
  <c r="BC7" i="11"/>
  <c r="BB7" i="11"/>
  <c r="BA7" i="11"/>
  <c r="AZ7" i="11"/>
  <c r="AY7" i="11"/>
  <c r="AX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CD6" i="11"/>
  <c r="CC6" i="11"/>
  <c r="CB6" i="11"/>
  <c r="CA6" i="11"/>
  <c r="BZ6" i="11"/>
  <c r="BY6" i="11"/>
  <c r="BX6" i="11"/>
  <c r="BW6" i="11"/>
  <c r="BV6" i="11"/>
  <c r="BU6" i="11"/>
  <c r="BT6" i="11"/>
  <c r="BS6" i="11"/>
  <c r="BR6" i="11"/>
  <c r="BQ6" i="11"/>
  <c r="BP6" i="11"/>
  <c r="BO6" i="11"/>
  <c r="BN6" i="11"/>
  <c r="BM6" i="11"/>
  <c r="BL6" i="11"/>
  <c r="BK6" i="11"/>
  <c r="BJ6" i="11"/>
  <c r="BI6" i="11"/>
  <c r="BH6" i="11"/>
  <c r="BG6" i="11"/>
  <c r="BF6" i="11"/>
  <c r="BE6" i="11"/>
  <c r="BD6" i="11"/>
  <c r="BC6" i="11"/>
  <c r="BB6" i="11"/>
  <c r="BA6" i="11"/>
  <c r="AZ6" i="11"/>
  <c r="AY6" i="11"/>
  <c r="AX6" i="11"/>
  <c r="AW6" i="11"/>
  <c r="AV6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CD5" i="11"/>
  <c r="CC5" i="11"/>
  <c r="CB5" i="11"/>
  <c r="CA5" i="11"/>
  <c r="BZ5" i="11"/>
  <c r="BY5" i="11"/>
  <c r="BX5" i="11"/>
  <c r="BW5" i="11"/>
  <c r="BV5" i="11"/>
  <c r="BU5" i="11"/>
  <c r="BT5" i="11"/>
  <c r="BS5" i="11"/>
  <c r="BR5" i="11"/>
  <c r="BQ5" i="11"/>
  <c r="BP5" i="11"/>
  <c r="BO5" i="11"/>
  <c r="BN5" i="11"/>
  <c r="BM5" i="11"/>
  <c r="BL5" i="11"/>
  <c r="BK5" i="11"/>
  <c r="BJ5" i="11"/>
  <c r="BI5" i="11"/>
  <c r="BH5" i="11"/>
  <c r="BG5" i="11"/>
  <c r="BF5" i="11"/>
  <c r="BE5" i="11"/>
  <c r="BD5" i="11"/>
  <c r="BC5" i="11"/>
  <c r="BB5" i="11"/>
  <c r="BA5" i="11"/>
  <c r="AZ5" i="11"/>
  <c r="AY5" i="11"/>
  <c r="AX5" i="11"/>
  <c r="AW5" i="11"/>
  <c r="AV5" i="11"/>
  <c r="AU5" i="11"/>
  <c r="AT5" i="11"/>
  <c r="AS5" i="11"/>
  <c r="AR5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CD4" i="11"/>
  <c r="CD13" i="11" s="1"/>
  <c r="CC4" i="11"/>
  <c r="CC13" i="11" s="1"/>
  <c r="CB4" i="11"/>
  <c r="CA4" i="11"/>
  <c r="CA13" i="11" s="1"/>
  <c r="BZ4" i="11"/>
  <c r="BY4" i="11"/>
  <c r="BY13" i="11" s="1"/>
  <c r="BX4" i="11"/>
  <c r="BW4" i="11"/>
  <c r="BV4" i="11"/>
  <c r="BV13" i="11" s="1"/>
  <c r="BU4" i="11"/>
  <c r="BU13" i="11" s="1"/>
  <c r="BT4" i="11"/>
  <c r="BS4" i="11"/>
  <c r="BR4" i="11"/>
  <c r="BQ4" i="11"/>
  <c r="BQ13" i="11" s="1"/>
  <c r="BP4" i="11"/>
  <c r="BO4" i="11"/>
  <c r="BN4" i="11"/>
  <c r="BM4" i="11"/>
  <c r="BM13" i="11" s="1"/>
  <c r="BL4" i="11"/>
  <c r="BK4" i="11"/>
  <c r="BK13" i="11" s="1"/>
  <c r="BJ4" i="11"/>
  <c r="BI4" i="11"/>
  <c r="BI13" i="11" s="1"/>
  <c r="BH4" i="11"/>
  <c r="BG4" i="11"/>
  <c r="BF4" i="11"/>
  <c r="BF13" i="11" s="1"/>
  <c r="BE4" i="11"/>
  <c r="BE13" i="11" s="1"/>
  <c r="BD4" i="11"/>
  <c r="BC4" i="11"/>
  <c r="BC13" i="11" s="1"/>
  <c r="BB4" i="11"/>
  <c r="BA4" i="11"/>
  <c r="BA13" i="11" s="1"/>
  <c r="AZ4" i="11"/>
  <c r="AY4" i="11"/>
  <c r="AX4" i="11"/>
  <c r="AX13" i="11" s="1"/>
  <c r="AW4" i="11"/>
  <c r="AW13" i="11" s="1"/>
  <c r="AV4" i="11"/>
  <c r="AU4" i="11"/>
  <c r="AU13" i="11" s="1"/>
  <c r="AT4" i="11"/>
  <c r="AS4" i="11"/>
  <c r="AS13" i="11" s="1"/>
  <c r="AR4" i="11"/>
  <c r="AQ4" i="11"/>
  <c r="AP4" i="11"/>
  <c r="AP13" i="11" s="1"/>
  <c r="AO4" i="11"/>
  <c r="AN4" i="11"/>
  <c r="AM4" i="11"/>
  <c r="AM13" i="11" s="1"/>
  <c r="AL4" i="11"/>
  <c r="AK4" i="11"/>
  <c r="AK13" i="11" s="1"/>
  <c r="AJ4" i="11"/>
  <c r="AI4" i="11"/>
  <c r="AH4" i="11"/>
  <c r="AH13" i="11" s="1"/>
  <c r="AG4" i="11"/>
  <c r="AF4" i="11"/>
  <c r="AE4" i="11"/>
  <c r="AE13" i="11" s="1"/>
  <c r="AD4" i="11"/>
  <c r="AC4" i="11"/>
  <c r="AC13" i="11" s="1"/>
  <c r="AB4" i="11"/>
  <c r="AA4" i="11"/>
  <c r="Z4" i="11"/>
  <c r="Y4" i="11"/>
  <c r="Y13" i="11" s="1"/>
  <c r="X4" i="11"/>
  <c r="W4" i="11"/>
  <c r="V4" i="11"/>
  <c r="U4" i="11"/>
  <c r="U13" i="11" s="1"/>
  <c r="T4" i="11"/>
  <c r="S4" i="11"/>
  <c r="R4" i="11"/>
  <c r="Q4" i="11"/>
  <c r="Q13" i="11" s="1"/>
  <c r="P4" i="11"/>
  <c r="O4" i="11"/>
  <c r="N4" i="11"/>
  <c r="M4" i="11"/>
  <c r="M13" i="11" s="1"/>
  <c r="L4" i="11"/>
  <c r="K4" i="11"/>
  <c r="J4" i="11"/>
  <c r="I4" i="11"/>
  <c r="I13" i="11" s="1"/>
  <c r="H4" i="11"/>
  <c r="G4" i="11"/>
  <c r="G13" i="11" s="1"/>
  <c r="F4" i="11"/>
  <c r="E4" i="11"/>
  <c r="E13" i="11" s="1"/>
  <c r="D4" i="11"/>
  <c r="C4" i="11"/>
  <c r="B4" i="11"/>
  <c r="CD8" i="10"/>
  <c r="CC8" i="10"/>
  <c r="CB8" i="10"/>
  <c r="CA8" i="10"/>
  <c r="BZ8" i="10"/>
  <c r="BY8" i="10"/>
  <c r="BX8" i="10"/>
  <c r="BW8" i="10"/>
  <c r="BV8" i="10"/>
  <c r="BU8" i="10"/>
  <c r="BT8" i="10"/>
  <c r="BS8" i="10"/>
  <c r="BR8" i="10"/>
  <c r="BQ8" i="10"/>
  <c r="BP8" i="10"/>
  <c r="BO8" i="10"/>
  <c r="BN8" i="10"/>
  <c r="BM8" i="10"/>
  <c r="BL8" i="10"/>
  <c r="BK8" i="10"/>
  <c r="BJ8" i="10"/>
  <c r="BI8" i="10"/>
  <c r="BH8" i="10"/>
  <c r="BG8" i="10"/>
  <c r="BF8" i="10"/>
  <c r="BE8" i="10"/>
  <c r="BD8" i="10"/>
  <c r="BC8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CD7" i="10"/>
  <c r="CC7" i="10"/>
  <c r="CB7" i="10"/>
  <c r="CA7" i="10"/>
  <c r="BZ7" i="10"/>
  <c r="BY7" i="10"/>
  <c r="BX7" i="10"/>
  <c r="BW7" i="10"/>
  <c r="BV7" i="10"/>
  <c r="BU7" i="10"/>
  <c r="BT7" i="10"/>
  <c r="BS7" i="10"/>
  <c r="BR7" i="10"/>
  <c r="BQ7" i="10"/>
  <c r="BP7" i="10"/>
  <c r="BO7" i="10"/>
  <c r="BN7" i="10"/>
  <c r="BM7" i="10"/>
  <c r="BL7" i="10"/>
  <c r="BK7" i="10"/>
  <c r="BJ7" i="10"/>
  <c r="BI7" i="10"/>
  <c r="BH7" i="10"/>
  <c r="BG7" i="10"/>
  <c r="BF7" i="10"/>
  <c r="BE7" i="10"/>
  <c r="BD7" i="10"/>
  <c r="BC7" i="10"/>
  <c r="BB7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CD5" i="10"/>
  <c r="CC5" i="10"/>
  <c r="CB5" i="10"/>
  <c r="CA5" i="10"/>
  <c r="BZ5" i="10"/>
  <c r="BY5" i="10"/>
  <c r="BX5" i="10"/>
  <c r="BW5" i="10"/>
  <c r="BV5" i="10"/>
  <c r="BU5" i="10"/>
  <c r="BT5" i="10"/>
  <c r="BS5" i="10"/>
  <c r="BR5" i="10"/>
  <c r="BQ5" i="10"/>
  <c r="BP5" i="10"/>
  <c r="BO5" i="10"/>
  <c r="BN5" i="10"/>
  <c r="BM5" i="10"/>
  <c r="BL5" i="10"/>
  <c r="BK5" i="10"/>
  <c r="BJ5" i="10"/>
  <c r="BI5" i="10"/>
  <c r="BH5" i="10"/>
  <c r="BG5" i="10"/>
  <c r="BF5" i="10"/>
  <c r="BE5" i="10"/>
  <c r="BD5" i="10"/>
  <c r="BC5" i="10"/>
  <c r="BB5" i="10"/>
  <c r="BA5" i="10"/>
  <c r="AZ5" i="10"/>
  <c r="AY5" i="10"/>
  <c r="AX5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CD4" i="10"/>
  <c r="CC4" i="10"/>
  <c r="CB4" i="10"/>
  <c r="CA4" i="10"/>
  <c r="BZ4" i="10"/>
  <c r="BY4" i="10"/>
  <c r="BX4" i="10"/>
  <c r="BW4" i="10"/>
  <c r="BV4" i="10"/>
  <c r="BU4" i="10"/>
  <c r="BT4" i="10"/>
  <c r="BS4" i="10"/>
  <c r="BR4" i="10"/>
  <c r="BQ4" i="10"/>
  <c r="BP4" i="10"/>
  <c r="BO4" i="10"/>
  <c r="BN4" i="10"/>
  <c r="BM4" i="10"/>
  <c r="BL4" i="10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L23" i="9"/>
  <c r="AJ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J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J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J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J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J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J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J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J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J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J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J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J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J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J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J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J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J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J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CD22" i="8"/>
  <c r="CC22" i="8"/>
  <c r="CB22" i="8"/>
  <c r="CA22" i="8"/>
  <c r="BZ22" i="8"/>
  <c r="BY22" i="8"/>
  <c r="BX22" i="8"/>
  <c r="BW22" i="8"/>
  <c r="BV22" i="8"/>
  <c r="BU22" i="8"/>
  <c r="BT22" i="8"/>
  <c r="BS22" i="8"/>
  <c r="BR22" i="8"/>
  <c r="BQ22" i="8"/>
  <c r="BP22" i="8"/>
  <c r="BO22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CD20" i="8"/>
  <c r="CC20" i="8"/>
  <c r="CB20" i="8"/>
  <c r="CA20" i="8"/>
  <c r="BZ20" i="8"/>
  <c r="BY20" i="8"/>
  <c r="BX20" i="8"/>
  <c r="BW20" i="8"/>
  <c r="BV20" i="8"/>
  <c r="BU20" i="8"/>
  <c r="BT20" i="8"/>
  <c r="BS20" i="8"/>
  <c r="BR20" i="8"/>
  <c r="BQ20" i="8"/>
  <c r="BP20" i="8"/>
  <c r="BO20" i="8"/>
  <c r="BN20" i="8"/>
  <c r="BM20" i="8"/>
  <c r="BL20" i="8"/>
  <c r="BK20" i="8"/>
  <c r="BJ20" i="8"/>
  <c r="BI20" i="8"/>
  <c r="BH20" i="8"/>
  <c r="BG20" i="8"/>
  <c r="BF20" i="8"/>
  <c r="BE20" i="8"/>
  <c r="BD20" i="8"/>
  <c r="BC20" i="8"/>
  <c r="BB20" i="8"/>
  <c r="BA20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CD19" i="8"/>
  <c r="CC19" i="8"/>
  <c r="CB19" i="8"/>
  <c r="CA19" i="8"/>
  <c r="BZ19" i="8"/>
  <c r="BY19" i="8"/>
  <c r="BX19" i="8"/>
  <c r="BW19" i="8"/>
  <c r="BV19" i="8"/>
  <c r="BU19" i="8"/>
  <c r="BT19" i="8"/>
  <c r="BS19" i="8"/>
  <c r="BR19" i="8"/>
  <c r="BQ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CD16" i="8"/>
  <c r="CC16" i="8"/>
  <c r="CB16" i="8"/>
  <c r="CA16" i="8"/>
  <c r="BZ16" i="8"/>
  <c r="BY16" i="8"/>
  <c r="BX16" i="8"/>
  <c r="BW16" i="8"/>
  <c r="BV16" i="8"/>
  <c r="BU16" i="8"/>
  <c r="BT16" i="8"/>
  <c r="BS16" i="8"/>
  <c r="BR16" i="8"/>
  <c r="BQ16" i="8"/>
  <c r="BP16" i="8"/>
  <c r="BO16" i="8"/>
  <c r="BN16" i="8"/>
  <c r="BM16" i="8"/>
  <c r="BL16" i="8"/>
  <c r="BK16" i="8"/>
  <c r="BJ16" i="8"/>
  <c r="BI16" i="8"/>
  <c r="BH16" i="8"/>
  <c r="BG16" i="8"/>
  <c r="BF16" i="8"/>
  <c r="BE16" i="8"/>
  <c r="BD16" i="8"/>
  <c r="BC16" i="8"/>
  <c r="BB16" i="8"/>
  <c r="BA16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CD15" i="8"/>
  <c r="CC15" i="8"/>
  <c r="CB15" i="8"/>
  <c r="CA15" i="8"/>
  <c r="BZ15" i="8"/>
  <c r="BY15" i="8"/>
  <c r="BX15" i="8"/>
  <c r="BW15" i="8"/>
  <c r="BV15" i="8"/>
  <c r="BU15" i="8"/>
  <c r="BT15" i="8"/>
  <c r="BS15" i="8"/>
  <c r="BR15" i="8"/>
  <c r="BQ15" i="8"/>
  <c r="BP15" i="8"/>
  <c r="BO15" i="8"/>
  <c r="BN15" i="8"/>
  <c r="BM15" i="8"/>
  <c r="BL15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CD14" i="8"/>
  <c r="CC14" i="8"/>
  <c r="CB14" i="8"/>
  <c r="CA14" i="8"/>
  <c r="BZ14" i="8"/>
  <c r="BY14" i="8"/>
  <c r="BX14" i="8"/>
  <c r="BW14" i="8"/>
  <c r="BV14" i="8"/>
  <c r="BU14" i="8"/>
  <c r="BT14" i="8"/>
  <c r="BS14" i="8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CD13" i="8"/>
  <c r="CC13" i="8"/>
  <c r="CB13" i="8"/>
  <c r="CA13" i="8"/>
  <c r="BZ13" i="8"/>
  <c r="BY13" i="8"/>
  <c r="BX13" i="8"/>
  <c r="BW13" i="8"/>
  <c r="BV13" i="8"/>
  <c r="BU13" i="8"/>
  <c r="BT13" i="8"/>
  <c r="BS13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CD12" i="8"/>
  <c r="CC12" i="8"/>
  <c r="CB12" i="8"/>
  <c r="CA12" i="8"/>
  <c r="BZ12" i="8"/>
  <c r="BY12" i="8"/>
  <c r="BX12" i="8"/>
  <c r="BW12" i="8"/>
  <c r="BV12" i="8"/>
  <c r="BU12" i="8"/>
  <c r="BT12" i="8"/>
  <c r="BS12" i="8"/>
  <c r="BR12" i="8"/>
  <c r="BQ12" i="8"/>
  <c r="BP12" i="8"/>
  <c r="BO12" i="8"/>
  <c r="BN12" i="8"/>
  <c r="BM12" i="8"/>
  <c r="BL12" i="8"/>
  <c r="BK12" i="8"/>
  <c r="BJ12" i="8"/>
  <c r="BI12" i="8"/>
  <c r="BH12" i="8"/>
  <c r="BG12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CD11" i="8"/>
  <c r="CC11" i="8"/>
  <c r="CB11" i="8"/>
  <c r="CA11" i="8"/>
  <c r="BZ11" i="8"/>
  <c r="BY11" i="8"/>
  <c r="BX11" i="8"/>
  <c r="BW11" i="8"/>
  <c r="BV11" i="8"/>
  <c r="BU11" i="8"/>
  <c r="BT11" i="8"/>
  <c r="BS11" i="8"/>
  <c r="BR11" i="8"/>
  <c r="BQ11" i="8"/>
  <c r="BP11" i="8"/>
  <c r="BO11" i="8"/>
  <c r="BN11" i="8"/>
  <c r="BM11" i="8"/>
  <c r="BL11" i="8"/>
  <c r="BK11" i="8"/>
  <c r="BJ11" i="8"/>
  <c r="BI11" i="8"/>
  <c r="BH11" i="8"/>
  <c r="BG11" i="8"/>
  <c r="BF11" i="8"/>
  <c r="BE11" i="8"/>
  <c r="BD11" i="8"/>
  <c r="BC11" i="8"/>
  <c r="BB11" i="8"/>
  <c r="BA11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CD10" i="8"/>
  <c r="CC10" i="8"/>
  <c r="CB10" i="8"/>
  <c r="CA10" i="8"/>
  <c r="BZ10" i="8"/>
  <c r="BY10" i="8"/>
  <c r="BX10" i="8"/>
  <c r="BW10" i="8"/>
  <c r="BV10" i="8"/>
  <c r="BU10" i="8"/>
  <c r="BT10" i="8"/>
  <c r="BS10" i="8"/>
  <c r="BR10" i="8"/>
  <c r="BQ10" i="8"/>
  <c r="BP10" i="8"/>
  <c r="BO10" i="8"/>
  <c r="BN10" i="8"/>
  <c r="BM10" i="8"/>
  <c r="BL10" i="8"/>
  <c r="BK10" i="8"/>
  <c r="BJ10" i="8"/>
  <c r="BI10" i="8"/>
  <c r="BH10" i="8"/>
  <c r="BG10" i="8"/>
  <c r="BF10" i="8"/>
  <c r="BE10" i="8"/>
  <c r="BD10" i="8"/>
  <c r="BC10" i="8"/>
  <c r="BB10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CD9" i="8"/>
  <c r="CC9" i="8"/>
  <c r="CB9" i="8"/>
  <c r="CA9" i="8"/>
  <c r="BZ9" i="8"/>
  <c r="BY9" i="8"/>
  <c r="BX9" i="8"/>
  <c r="BW9" i="8"/>
  <c r="BV9" i="8"/>
  <c r="BU9" i="8"/>
  <c r="BT9" i="8"/>
  <c r="BS9" i="8"/>
  <c r="BR9" i="8"/>
  <c r="BQ9" i="8"/>
  <c r="BP9" i="8"/>
  <c r="BO9" i="8"/>
  <c r="BN9" i="8"/>
  <c r="BM9" i="8"/>
  <c r="BL9" i="8"/>
  <c r="BK9" i="8"/>
  <c r="BJ9" i="8"/>
  <c r="BI9" i="8"/>
  <c r="BH9" i="8"/>
  <c r="BG9" i="8"/>
  <c r="BF9" i="8"/>
  <c r="BE9" i="8"/>
  <c r="BD9" i="8"/>
  <c r="BC9" i="8"/>
  <c r="BB9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CD8" i="8"/>
  <c r="CC8" i="8"/>
  <c r="CB8" i="8"/>
  <c r="CA8" i="8"/>
  <c r="BZ8" i="8"/>
  <c r="BY8" i="8"/>
  <c r="BX8" i="8"/>
  <c r="BW8" i="8"/>
  <c r="BV8" i="8"/>
  <c r="BU8" i="8"/>
  <c r="BT8" i="8"/>
  <c r="BS8" i="8"/>
  <c r="BR8" i="8"/>
  <c r="BQ8" i="8"/>
  <c r="BP8" i="8"/>
  <c r="BO8" i="8"/>
  <c r="BN8" i="8"/>
  <c r="BM8" i="8"/>
  <c r="BL8" i="8"/>
  <c r="BK8" i="8"/>
  <c r="BJ8" i="8"/>
  <c r="BI8" i="8"/>
  <c r="BH8" i="8"/>
  <c r="BG8" i="8"/>
  <c r="BF8" i="8"/>
  <c r="BE8" i="8"/>
  <c r="BD8" i="8"/>
  <c r="BC8" i="8"/>
  <c r="BB8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CD7" i="8"/>
  <c r="CC7" i="8"/>
  <c r="CB7" i="8"/>
  <c r="CA7" i="8"/>
  <c r="BZ7" i="8"/>
  <c r="BY7" i="8"/>
  <c r="BX7" i="8"/>
  <c r="BW7" i="8"/>
  <c r="BV7" i="8"/>
  <c r="BU7" i="8"/>
  <c r="BT7" i="8"/>
  <c r="BS7" i="8"/>
  <c r="BR7" i="8"/>
  <c r="BQ7" i="8"/>
  <c r="BP7" i="8"/>
  <c r="BO7" i="8"/>
  <c r="BN7" i="8"/>
  <c r="BM7" i="8"/>
  <c r="BL7" i="8"/>
  <c r="BK7" i="8"/>
  <c r="BJ7" i="8"/>
  <c r="BI7" i="8"/>
  <c r="BH7" i="8"/>
  <c r="BG7" i="8"/>
  <c r="BF7" i="8"/>
  <c r="BE7" i="8"/>
  <c r="BD7" i="8"/>
  <c r="BC7" i="8"/>
  <c r="BB7" i="8"/>
  <c r="BA7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CD6" i="8"/>
  <c r="CC6" i="8"/>
  <c r="CB6" i="8"/>
  <c r="CA6" i="8"/>
  <c r="BZ6" i="8"/>
  <c r="BY6" i="8"/>
  <c r="BX6" i="8"/>
  <c r="BW6" i="8"/>
  <c r="BV6" i="8"/>
  <c r="BU6" i="8"/>
  <c r="BT6" i="8"/>
  <c r="BS6" i="8"/>
  <c r="BR6" i="8"/>
  <c r="BQ6" i="8"/>
  <c r="BP6" i="8"/>
  <c r="BO6" i="8"/>
  <c r="BN6" i="8"/>
  <c r="BM6" i="8"/>
  <c r="BL6" i="8"/>
  <c r="BK6" i="8"/>
  <c r="BJ6" i="8"/>
  <c r="BI6" i="8"/>
  <c r="BH6" i="8"/>
  <c r="BG6" i="8"/>
  <c r="BF6" i="8"/>
  <c r="BE6" i="8"/>
  <c r="BD6" i="8"/>
  <c r="BC6" i="8"/>
  <c r="BB6" i="8"/>
  <c r="BA6" i="8"/>
  <c r="AZ6" i="8"/>
  <c r="AY6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CD5" i="8"/>
  <c r="CC5" i="8"/>
  <c r="CB5" i="8"/>
  <c r="CA5" i="8"/>
  <c r="BZ5" i="8"/>
  <c r="BY5" i="8"/>
  <c r="BX5" i="8"/>
  <c r="BW5" i="8"/>
  <c r="BV5" i="8"/>
  <c r="BU5" i="8"/>
  <c r="BT5" i="8"/>
  <c r="BS5" i="8"/>
  <c r="BR5" i="8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CD4" i="8"/>
  <c r="CC4" i="8"/>
  <c r="CB4" i="8"/>
  <c r="CA4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B83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B82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B81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B73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B70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B63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Y30" i="7"/>
  <c r="Y86" i="7" s="1"/>
  <c r="X30" i="7"/>
  <c r="X86" i="7" s="1"/>
  <c r="W30" i="7"/>
  <c r="W86" i="7" s="1"/>
  <c r="V30" i="7"/>
  <c r="V86" i="7" s="1"/>
  <c r="U30" i="7"/>
  <c r="U86" i="7" s="1"/>
  <c r="T30" i="7"/>
  <c r="T86" i="7" s="1"/>
  <c r="S30" i="7"/>
  <c r="S86" i="7" s="1"/>
  <c r="R30" i="7"/>
  <c r="R86" i="7" s="1"/>
  <c r="Q30" i="7"/>
  <c r="Q86" i="7" s="1"/>
  <c r="P30" i="7"/>
  <c r="P86" i="7" s="1"/>
  <c r="O30" i="7"/>
  <c r="O86" i="7" s="1"/>
  <c r="N30" i="7"/>
  <c r="N86" i="7" s="1"/>
  <c r="M30" i="7"/>
  <c r="M86" i="7" s="1"/>
  <c r="L30" i="7"/>
  <c r="L86" i="7" s="1"/>
  <c r="K30" i="7"/>
  <c r="K86" i="7" s="1"/>
  <c r="J30" i="7"/>
  <c r="J86" i="7" s="1"/>
  <c r="I30" i="7"/>
  <c r="I86" i="7" s="1"/>
  <c r="H30" i="7"/>
  <c r="H86" i="7" s="1"/>
  <c r="G30" i="7"/>
  <c r="G86" i="7" s="1"/>
  <c r="F30" i="7"/>
  <c r="F86" i="7" s="1"/>
  <c r="E30" i="7"/>
  <c r="E86" i="7" s="1"/>
  <c r="D30" i="7"/>
  <c r="D86" i="7" s="1"/>
  <c r="C30" i="7"/>
  <c r="C86" i="7" s="1"/>
  <c r="B30" i="7"/>
  <c r="B86" i="7" s="1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Y4" i="7"/>
  <c r="Y87" i="7" s="1"/>
  <c r="X4" i="7"/>
  <c r="X87" i="7" s="1"/>
  <c r="W4" i="7"/>
  <c r="W87" i="7" s="1"/>
  <c r="V4" i="7"/>
  <c r="V87" i="7" s="1"/>
  <c r="U4" i="7"/>
  <c r="U85" i="7" s="1"/>
  <c r="T4" i="7"/>
  <c r="S4" i="7"/>
  <c r="S87" i="7" s="1"/>
  <c r="R4" i="7"/>
  <c r="R87" i="7" s="1"/>
  <c r="Q4" i="7"/>
  <c r="P4" i="7"/>
  <c r="P87" i="7" s="1"/>
  <c r="O4" i="7"/>
  <c r="O87" i="7" s="1"/>
  <c r="N4" i="7"/>
  <c r="M4" i="7"/>
  <c r="M85" i="7" s="1"/>
  <c r="L4" i="7"/>
  <c r="L85" i="7" s="1"/>
  <c r="K4" i="7"/>
  <c r="K87" i="7" s="1"/>
  <c r="J4" i="7"/>
  <c r="I4" i="7"/>
  <c r="H4" i="7"/>
  <c r="H87" i="7" s="1"/>
  <c r="G4" i="7"/>
  <c r="G87" i="7" s="1"/>
  <c r="F4" i="7"/>
  <c r="F87" i="7" s="1"/>
  <c r="E4" i="7"/>
  <c r="E85" i="7" s="1"/>
  <c r="D4" i="7"/>
  <c r="D85" i="7" s="1"/>
  <c r="C4" i="7"/>
  <c r="C87" i="7" s="1"/>
  <c r="B4" i="7"/>
  <c r="B87" i="7" s="1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Y4" i="6"/>
  <c r="X4" i="6"/>
  <c r="X23" i="6" s="1"/>
  <c r="W4" i="6"/>
  <c r="W23" i="6" s="1"/>
  <c r="V4" i="6"/>
  <c r="V23" i="6" s="1"/>
  <c r="U4" i="6"/>
  <c r="T4" i="6"/>
  <c r="S4" i="6"/>
  <c r="R4" i="6"/>
  <c r="R23" i="6" s="1"/>
  <c r="Q4" i="6"/>
  <c r="P4" i="6"/>
  <c r="P23" i="6" s="1"/>
  <c r="O4" i="6"/>
  <c r="N4" i="6"/>
  <c r="M4" i="6"/>
  <c r="L4" i="6"/>
  <c r="K4" i="6"/>
  <c r="K23" i="6" s="1"/>
  <c r="J4" i="6"/>
  <c r="I4" i="6"/>
  <c r="H4" i="6"/>
  <c r="G4" i="6"/>
  <c r="F4" i="6"/>
  <c r="E4" i="6"/>
  <c r="D4" i="6"/>
  <c r="D23" i="6" s="1"/>
  <c r="C4" i="6"/>
  <c r="B4" i="6"/>
  <c r="C17" i="4"/>
  <c r="B17" i="4"/>
  <c r="C17" i="3"/>
  <c r="C15" i="3"/>
  <c r="C14" i="3"/>
  <c r="C13" i="3"/>
  <c r="B9" i="3"/>
  <c r="A9" i="3"/>
  <c r="B8" i="3"/>
  <c r="A8" i="3"/>
  <c r="D8" i="3" s="1"/>
  <c r="B7" i="3"/>
  <c r="A7" i="3"/>
  <c r="D7" i="3" s="1"/>
  <c r="B6" i="3"/>
  <c r="A6" i="3"/>
  <c r="D6" i="3" s="1"/>
  <c r="B5" i="3"/>
  <c r="A5" i="3"/>
  <c r="D5" i="3" s="1"/>
  <c r="B4" i="3"/>
  <c r="A4" i="3"/>
  <c r="D4" i="3" s="1"/>
  <c r="B3" i="3"/>
  <c r="A3" i="3"/>
  <c r="D3" i="3" s="1"/>
  <c r="B2" i="3"/>
  <c r="B18" i="4"/>
  <c r="AL13" i="2"/>
  <c r="J15" i="13" s="1"/>
  <c r="AF13" i="2"/>
  <c r="B15" i="13" s="1"/>
  <c r="AL12" i="2"/>
  <c r="J14" i="13" s="1"/>
  <c r="AF12" i="2"/>
  <c r="B14" i="13" s="1"/>
  <c r="AL11" i="2"/>
  <c r="J13" i="13" s="1"/>
  <c r="AF11" i="2"/>
  <c r="B13" i="13" s="1"/>
  <c r="AS10" i="2"/>
  <c r="C20" i="4" s="1"/>
  <c r="AR10" i="2"/>
  <c r="B20" i="4" s="1"/>
  <c r="AL10" i="2"/>
  <c r="J12" i="13" s="1"/>
  <c r="AF10" i="2"/>
  <c r="B12" i="13" s="1"/>
  <c r="AO9" i="2"/>
  <c r="B10" i="15" s="1"/>
  <c r="AL9" i="2"/>
  <c r="J11" i="13" s="1"/>
  <c r="AF9" i="2"/>
  <c r="B11" i="13" s="1"/>
  <c r="AO8" i="2"/>
  <c r="B9" i="15" s="1"/>
  <c r="AL8" i="2"/>
  <c r="J10" i="13" s="1"/>
  <c r="AI8" i="2"/>
  <c r="F10" i="13" s="1"/>
  <c r="AF8" i="2"/>
  <c r="B10" i="13" s="1"/>
  <c r="AO7" i="2"/>
  <c r="B8" i="15" s="1"/>
  <c r="AL7" i="2"/>
  <c r="J9" i="13" s="1"/>
  <c r="AI7" i="2"/>
  <c r="F9" i="13" s="1"/>
  <c r="AF7" i="2"/>
  <c r="B9" i="13" s="1"/>
  <c r="AS6" i="2"/>
  <c r="AR6" i="2"/>
  <c r="AO6" i="2"/>
  <c r="B7" i="15" s="1"/>
  <c r="AL6" i="2"/>
  <c r="J8" i="13" s="1"/>
  <c r="AI6" i="2"/>
  <c r="F8" i="13" s="1"/>
  <c r="AF6" i="2"/>
  <c r="B8" i="13" s="1"/>
  <c r="AS5" i="2"/>
  <c r="AR5" i="2"/>
  <c r="AO5" i="2"/>
  <c r="B6" i="15" s="1"/>
  <c r="AL5" i="2"/>
  <c r="J7" i="13" s="1"/>
  <c r="AI5" i="2"/>
  <c r="F7" i="13" s="1"/>
  <c r="AF5" i="2"/>
  <c r="B7" i="13" s="1"/>
  <c r="AS4" i="2"/>
  <c r="AR4" i="2"/>
  <c r="AO4" i="2"/>
  <c r="B5" i="15" s="1"/>
  <c r="AL4" i="2"/>
  <c r="J6" i="13" s="1"/>
  <c r="AI4" i="2"/>
  <c r="F6" i="13" s="1"/>
  <c r="AF4" i="2"/>
  <c r="B6" i="13" s="1"/>
  <c r="AS3" i="2"/>
  <c r="AR3" i="2"/>
  <c r="AO3" i="2"/>
  <c r="B4" i="15" s="1"/>
  <c r="AL3" i="2"/>
  <c r="J5" i="13" s="1"/>
  <c r="AI3" i="2"/>
  <c r="AF3" i="2"/>
  <c r="B5" i="13" s="1"/>
  <c r="AW2" i="2"/>
  <c r="C14" i="4" s="1"/>
  <c r="C13" i="4" s="1"/>
  <c r="C15" i="4" s="1"/>
  <c r="C31" i="4" s="1"/>
  <c r="AV2" i="2"/>
  <c r="B14" i="4" s="1"/>
  <c r="AS2" i="2"/>
  <c r="AR2" i="2"/>
  <c r="AO2" i="2"/>
  <c r="AL2" i="2"/>
  <c r="AI2" i="2"/>
  <c r="F4" i="13" s="1"/>
  <c r="AF2" i="2"/>
  <c r="F50" i="2"/>
  <c r="A49" i="2"/>
  <c r="G47" i="2"/>
  <c r="G45" i="2"/>
  <c r="E44" i="2"/>
  <c r="D44" i="2"/>
  <c r="D41" i="2"/>
  <c r="G39" i="2"/>
  <c r="F39" i="2"/>
  <c r="F36" i="2"/>
  <c r="D36" i="2"/>
  <c r="A35" i="2"/>
  <c r="B33" i="2"/>
  <c r="A32" i="2"/>
  <c r="G31" i="2"/>
  <c r="D29" i="2"/>
  <c r="B28" i="2"/>
  <c r="A28" i="2"/>
  <c r="E25" i="2"/>
  <c r="B25" i="2"/>
  <c r="B24" i="2"/>
  <c r="E22" i="2"/>
  <c r="D21" i="2"/>
  <c r="B21" i="2"/>
  <c r="F18" i="2"/>
  <c r="E17" i="2"/>
  <c r="D17" i="2"/>
  <c r="G14" i="2"/>
  <c r="E14" i="2"/>
  <c r="E13" i="2"/>
  <c r="G11" i="2"/>
  <c r="F10" i="2"/>
  <c r="E10" i="2"/>
  <c r="A8" i="2"/>
  <c r="G6" i="2"/>
  <c r="F6" i="2"/>
  <c r="B4" i="2"/>
  <c r="G3" i="2"/>
  <c r="G2" i="2"/>
  <c r="B1" i="2"/>
  <c r="A1" i="2" a="1"/>
  <c r="F47" i="2" s="1"/>
  <c r="Q87" i="7" l="1"/>
  <c r="E23" i="6"/>
  <c r="T85" i="7"/>
  <c r="J87" i="7"/>
  <c r="B13" i="11"/>
  <c r="J13" i="11"/>
  <c r="R13" i="11"/>
  <c r="Z13" i="11"/>
  <c r="BN13" i="11"/>
  <c r="N87" i="7"/>
  <c r="I87" i="7"/>
  <c r="A4" i="2"/>
  <c r="G7" i="2"/>
  <c r="G10" i="2"/>
  <c r="F14" i="2"/>
  <c r="E18" i="2"/>
  <c r="E21" i="2"/>
  <c r="D25" i="2"/>
  <c r="B29" i="2"/>
  <c r="B32" i="2"/>
  <c r="E36" i="2"/>
  <c r="A41" i="2"/>
  <c r="F44" i="2"/>
  <c r="E49" i="2"/>
  <c r="D1" i="2"/>
  <c r="B5" i="2"/>
  <c r="B8" i="2"/>
  <c r="A12" i="2"/>
  <c r="G15" i="2"/>
  <c r="G18" i="2"/>
  <c r="F22" i="2"/>
  <c r="E26" i="2"/>
  <c r="E29" i="2"/>
  <c r="D33" i="2"/>
  <c r="G37" i="2"/>
  <c r="E41" i="2"/>
  <c r="A46" i="2"/>
  <c r="A51" i="2"/>
  <c r="E1" i="2"/>
  <c r="D5" i="2"/>
  <c r="B9" i="2"/>
  <c r="B12" i="2"/>
  <c r="A16" i="2"/>
  <c r="G19" i="2"/>
  <c r="G22" i="2"/>
  <c r="F26" i="2"/>
  <c r="E30" i="2"/>
  <c r="E33" i="2"/>
  <c r="A38" i="2"/>
  <c r="F42" i="2"/>
  <c r="D46" i="2"/>
  <c r="F52" i="2"/>
  <c r="E2" i="2"/>
  <c r="E5" i="2"/>
  <c r="D9" i="2"/>
  <c r="B13" i="2"/>
  <c r="B16" i="2"/>
  <c r="A20" i="2"/>
  <c r="G23" i="2"/>
  <c r="G26" i="2"/>
  <c r="F30" i="2"/>
  <c r="F34" i="2"/>
  <c r="D38" i="2"/>
  <c r="G42" i="2"/>
  <c r="E47" i="2"/>
  <c r="F2" i="2"/>
  <c r="E6" i="2"/>
  <c r="E9" i="2"/>
  <c r="D13" i="2"/>
  <c r="B17" i="2"/>
  <c r="B20" i="2"/>
  <c r="A24" i="2"/>
  <c r="G27" i="2"/>
  <c r="G30" i="2"/>
  <c r="G34" i="2"/>
  <c r="E39" i="2"/>
  <c r="A43" i="2"/>
  <c r="D17" i="4"/>
  <c r="T23" i="6"/>
  <c r="P9" i="10"/>
  <c r="F23" i="6"/>
  <c r="Q23" i="6"/>
  <c r="C9" i="10"/>
  <c r="K9" i="10"/>
  <c r="S9" i="10"/>
  <c r="AA9" i="10"/>
  <c r="AI9" i="10"/>
  <c r="AQ9" i="10"/>
  <c r="AY9" i="10"/>
  <c r="BG9" i="10"/>
  <c r="BO9" i="10"/>
  <c r="BW9" i="10"/>
  <c r="F13" i="11"/>
  <c r="N13" i="11"/>
  <c r="V13" i="11"/>
  <c r="AD13" i="11"/>
  <c r="AL13" i="11"/>
  <c r="AT13" i="11"/>
  <c r="BB13" i="11"/>
  <c r="BJ13" i="11"/>
  <c r="BR13" i="11"/>
  <c r="BZ13" i="11"/>
  <c r="E12" i="12"/>
  <c r="AK12" i="12"/>
  <c r="AS12" i="12"/>
  <c r="BA12" i="12"/>
  <c r="BI12" i="12"/>
  <c r="BQ12" i="12"/>
  <c r="G23" i="6"/>
  <c r="G9" i="10"/>
  <c r="AU9" i="10"/>
  <c r="BC9" i="10"/>
  <c r="L23" i="6"/>
  <c r="S23" i="6"/>
  <c r="AS7" i="2"/>
  <c r="B37" i="14"/>
  <c r="C32" i="14" s="1"/>
  <c r="H9" i="14"/>
  <c r="E9" i="10"/>
  <c r="M9" i="10"/>
  <c r="U9" i="10"/>
  <c r="AC9" i="10"/>
  <c r="AK9" i="10"/>
  <c r="AS9" i="10"/>
  <c r="BA9" i="10"/>
  <c r="BI9" i="10"/>
  <c r="BQ9" i="10"/>
  <c r="BY9" i="10"/>
  <c r="H13" i="11"/>
  <c r="P13" i="11"/>
  <c r="X13" i="11"/>
  <c r="AF13" i="11"/>
  <c r="AN13" i="11"/>
  <c r="AV13" i="11"/>
  <c r="BD13" i="11"/>
  <c r="BL13" i="11"/>
  <c r="BT13" i="11"/>
  <c r="CB13" i="11"/>
  <c r="H12" i="12"/>
  <c r="P12" i="12"/>
  <c r="X12" i="12"/>
  <c r="AF12" i="12"/>
  <c r="AN12" i="12"/>
  <c r="AV12" i="12"/>
  <c r="BD12" i="12"/>
  <c r="BL12" i="12"/>
  <c r="BT12" i="12"/>
  <c r="CB12" i="12"/>
  <c r="H9" i="10"/>
  <c r="X9" i="10"/>
  <c r="AF9" i="10"/>
  <c r="AN9" i="10"/>
  <c r="AV9" i="10"/>
  <c r="BD9" i="10"/>
  <c r="BL9" i="10"/>
  <c r="BT9" i="10"/>
  <c r="CB9" i="10"/>
  <c r="I9" i="10"/>
  <c r="Q9" i="10"/>
  <c r="Y9" i="10"/>
  <c r="AG9" i="10"/>
  <c r="AO9" i="10"/>
  <c r="AW9" i="10"/>
  <c r="BE9" i="10"/>
  <c r="BM9" i="10"/>
  <c r="BU9" i="10"/>
  <c r="CC9" i="10"/>
  <c r="D13" i="11"/>
  <c r="L13" i="11"/>
  <c r="T13" i="11"/>
  <c r="BP13" i="11"/>
  <c r="AB12" i="12"/>
  <c r="AJ12" i="12"/>
  <c r="H23" i="6"/>
  <c r="U23" i="6"/>
  <c r="M23" i="6"/>
  <c r="B23" i="8"/>
  <c r="J23" i="8"/>
  <c r="R23" i="8"/>
  <c r="Z23" i="8"/>
  <c r="AH23" i="8"/>
  <c r="AP23" i="8"/>
  <c r="AX23" i="8"/>
  <c r="BF23" i="8"/>
  <c r="BN23" i="8"/>
  <c r="BV23" i="8"/>
  <c r="CD23" i="8"/>
  <c r="B9" i="10"/>
  <c r="J9" i="10"/>
  <c r="R9" i="10"/>
  <c r="Z9" i="10"/>
  <c r="AH9" i="10"/>
  <c r="AP9" i="10"/>
  <c r="AX9" i="10"/>
  <c r="BF9" i="10"/>
  <c r="BN9" i="10"/>
  <c r="BV9" i="10"/>
  <c r="CD9" i="10"/>
  <c r="N23" i="6"/>
  <c r="C23" i="8"/>
  <c r="K23" i="8"/>
  <c r="S23" i="8"/>
  <c r="AA23" i="8"/>
  <c r="AI23" i="8"/>
  <c r="AQ23" i="8"/>
  <c r="AY23" i="8"/>
  <c r="BG23" i="8"/>
  <c r="BO23" i="8"/>
  <c r="BW23" i="8"/>
  <c r="I23" i="8"/>
  <c r="Q23" i="8"/>
  <c r="Y23" i="8"/>
  <c r="AO23" i="8"/>
  <c r="AW23" i="8"/>
  <c r="BE23" i="8"/>
  <c r="BM23" i="8"/>
  <c r="C23" i="6"/>
  <c r="Y23" i="6"/>
  <c r="O23" i="6"/>
  <c r="G23" i="8"/>
  <c r="O23" i="8"/>
  <c r="W23" i="8"/>
  <c r="AE23" i="8"/>
  <c r="AM23" i="8"/>
  <c r="AU23" i="8"/>
  <c r="BC23" i="8"/>
  <c r="BK23" i="8"/>
  <c r="BS23" i="8"/>
  <c r="CA23" i="8"/>
  <c r="AG23" i="8"/>
  <c r="BU23" i="8"/>
  <c r="CC23" i="8"/>
  <c r="G23" i="9"/>
  <c r="O23" i="9"/>
  <c r="W23" i="9"/>
  <c r="AE23" i="9"/>
  <c r="AB13" i="11"/>
  <c r="AJ13" i="11"/>
  <c r="AR13" i="11"/>
  <c r="AZ13" i="11"/>
  <c r="BH13" i="11"/>
  <c r="BX13" i="11"/>
  <c r="I23" i="6"/>
  <c r="CF19" i="8"/>
  <c r="H23" i="9"/>
  <c r="P23" i="9"/>
  <c r="X23" i="9"/>
  <c r="AF23" i="9"/>
  <c r="D23" i="8"/>
  <c r="L23" i="8"/>
  <c r="T23" i="8"/>
  <c r="AB23" i="8"/>
  <c r="AJ23" i="8"/>
  <c r="AR23" i="8"/>
  <c r="AZ23" i="8"/>
  <c r="BH23" i="8"/>
  <c r="BP23" i="8"/>
  <c r="BX23" i="8"/>
  <c r="CE13" i="8"/>
  <c r="D20" i="4"/>
  <c r="Z7" i="6"/>
  <c r="Z8" i="6"/>
  <c r="Z9" i="6"/>
  <c r="Z10" i="6"/>
  <c r="Z11" i="6"/>
  <c r="Z12" i="6"/>
  <c r="Z13" i="6"/>
  <c r="Z14" i="6"/>
  <c r="Z15" i="6"/>
  <c r="Z16" i="6"/>
  <c r="Z17" i="6"/>
  <c r="E23" i="8"/>
  <c r="M23" i="8"/>
  <c r="U23" i="8"/>
  <c r="AC23" i="8"/>
  <c r="AK23" i="8"/>
  <c r="AS23" i="8"/>
  <c r="BA23" i="8"/>
  <c r="BI23" i="8"/>
  <c r="BQ23" i="8"/>
  <c r="BY23" i="8"/>
  <c r="I7" i="14"/>
  <c r="C23" i="9"/>
  <c r="K23" i="9"/>
  <c r="S23" i="9"/>
  <c r="CE9" i="11"/>
  <c r="C30" i="14"/>
  <c r="I5" i="14"/>
  <c r="I8" i="14"/>
  <c r="AI22" i="9"/>
  <c r="AK22" i="9" s="1"/>
  <c r="AL22" i="9" s="1"/>
  <c r="O9" i="10"/>
  <c r="W9" i="10"/>
  <c r="AE9" i="10"/>
  <c r="AM9" i="10"/>
  <c r="BK9" i="10"/>
  <c r="BS9" i="10"/>
  <c r="CA9" i="10"/>
  <c r="Z18" i="6"/>
  <c r="Z19" i="6"/>
  <c r="Z20" i="6"/>
  <c r="Z21" i="6"/>
  <c r="Z22" i="6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I6" i="14"/>
  <c r="CF11" i="8"/>
  <c r="AI7" i="9"/>
  <c r="AK7" i="9" s="1"/>
  <c r="AL7" i="9" s="1"/>
  <c r="AI15" i="9"/>
  <c r="AK15" i="9" s="1"/>
  <c r="AL15" i="9" s="1"/>
  <c r="CE6" i="11"/>
  <c r="I23" i="9"/>
  <c r="Q23" i="9"/>
  <c r="Y23" i="9"/>
  <c r="AG23" i="9"/>
  <c r="CE6" i="12"/>
  <c r="Z6" i="6"/>
  <c r="CF5" i="8"/>
  <c r="CE7" i="8"/>
  <c r="CF13" i="8"/>
  <c r="CE15" i="8"/>
  <c r="CF21" i="8"/>
  <c r="AI4" i="9"/>
  <c r="AK4" i="9" s="1"/>
  <c r="J23" i="9"/>
  <c r="R23" i="9"/>
  <c r="Z23" i="9"/>
  <c r="AH23" i="9"/>
  <c r="AI8" i="9"/>
  <c r="AK8" i="9" s="1"/>
  <c r="AL8" i="9" s="1"/>
  <c r="AI12" i="9"/>
  <c r="AK12" i="9" s="1"/>
  <c r="AL12" i="9" s="1"/>
  <c r="AI16" i="9"/>
  <c r="AK16" i="9" s="1"/>
  <c r="AL16" i="9" s="1"/>
  <c r="AI20" i="9"/>
  <c r="AK20" i="9" s="1"/>
  <c r="AL20" i="9" s="1"/>
  <c r="CE5" i="10"/>
  <c r="CE8" i="11"/>
  <c r="CE7" i="12"/>
  <c r="F23" i="8"/>
  <c r="N23" i="8"/>
  <c r="V23" i="8"/>
  <c r="AD23" i="8"/>
  <c r="AL23" i="8"/>
  <c r="AT23" i="8"/>
  <c r="BB23" i="8"/>
  <c r="BJ23" i="8"/>
  <c r="BR23" i="8"/>
  <c r="BZ23" i="8"/>
  <c r="CF6" i="8"/>
  <c r="CE8" i="8"/>
  <c r="CF14" i="8"/>
  <c r="CF22" i="8"/>
  <c r="AA23" i="9"/>
  <c r="AJ23" i="9"/>
  <c r="D9" i="10"/>
  <c r="L9" i="10"/>
  <c r="T9" i="10"/>
  <c r="AB9" i="10"/>
  <c r="AJ9" i="10"/>
  <c r="AR9" i="10"/>
  <c r="AZ9" i="10"/>
  <c r="BH9" i="10"/>
  <c r="BP9" i="10"/>
  <c r="BX9" i="10"/>
  <c r="CE6" i="10"/>
  <c r="O13" i="11"/>
  <c r="W13" i="11"/>
  <c r="BS13" i="11"/>
  <c r="CE8" i="12"/>
  <c r="CF7" i="8"/>
  <c r="CE9" i="8"/>
  <c r="CF15" i="8"/>
  <c r="CE17" i="8"/>
  <c r="D23" i="9"/>
  <c r="L23" i="9"/>
  <c r="T23" i="9"/>
  <c r="AB23" i="9"/>
  <c r="CE7" i="10"/>
  <c r="CE10" i="11"/>
  <c r="CE9" i="12"/>
  <c r="J23" i="6"/>
  <c r="H23" i="8"/>
  <c r="P23" i="8"/>
  <c r="X23" i="8"/>
  <c r="AF23" i="8"/>
  <c r="AN23" i="8"/>
  <c r="AV23" i="8"/>
  <c r="BD23" i="8"/>
  <c r="BL23" i="8"/>
  <c r="BT23" i="8"/>
  <c r="CB23" i="8"/>
  <c r="CF8" i="8"/>
  <c r="CE10" i="8"/>
  <c r="CF16" i="8"/>
  <c r="CE18" i="8"/>
  <c r="E23" i="9"/>
  <c r="M23" i="9"/>
  <c r="U23" i="9"/>
  <c r="AC23" i="9"/>
  <c r="AI5" i="9"/>
  <c r="AK5" i="9" s="1"/>
  <c r="AL5" i="9" s="1"/>
  <c r="AI9" i="9"/>
  <c r="AK9" i="9" s="1"/>
  <c r="AL9" i="9" s="1"/>
  <c r="AI13" i="9"/>
  <c r="AK13" i="9" s="1"/>
  <c r="AL13" i="9" s="1"/>
  <c r="AI17" i="9"/>
  <c r="AK17" i="9" s="1"/>
  <c r="AL17" i="9" s="1"/>
  <c r="AI21" i="9"/>
  <c r="AK21" i="9" s="1"/>
  <c r="AL21" i="9" s="1"/>
  <c r="F9" i="10"/>
  <c r="N9" i="10"/>
  <c r="V9" i="10"/>
  <c r="AD9" i="10"/>
  <c r="AL9" i="10"/>
  <c r="AT9" i="10"/>
  <c r="BB9" i="10"/>
  <c r="BJ9" i="10"/>
  <c r="BR9" i="10"/>
  <c r="BZ9" i="10"/>
  <c r="CE8" i="10"/>
  <c r="AG13" i="11"/>
  <c r="AO13" i="11"/>
  <c r="CE11" i="11"/>
  <c r="CE10" i="12"/>
  <c r="CF9" i="8"/>
  <c r="CE11" i="8"/>
  <c r="CF17" i="8"/>
  <c r="CE19" i="8"/>
  <c r="F23" i="9"/>
  <c r="N23" i="9"/>
  <c r="V23" i="9"/>
  <c r="AD23" i="9"/>
  <c r="AI6" i="9"/>
  <c r="AK6" i="9" s="1"/>
  <c r="AL6" i="9" s="1"/>
  <c r="AI10" i="9"/>
  <c r="AK10" i="9" s="1"/>
  <c r="AL10" i="9" s="1"/>
  <c r="AI14" i="9"/>
  <c r="AK14" i="9" s="1"/>
  <c r="AL14" i="9" s="1"/>
  <c r="AI18" i="9"/>
  <c r="AK18" i="9" s="1"/>
  <c r="AL18" i="9" s="1"/>
  <c r="CE12" i="11"/>
  <c r="CE11" i="12"/>
  <c r="CF10" i="8"/>
  <c r="CE12" i="8"/>
  <c r="CF18" i="8"/>
  <c r="CE20" i="8"/>
  <c r="C13" i="11"/>
  <c r="K13" i="11"/>
  <c r="S13" i="11"/>
  <c r="AA13" i="11"/>
  <c r="AI13" i="11"/>
  <c r="AQ13" i="11"/>
  <c r="AY13" i="11"/>
  <c r="BG13" i="11"/>
  <c r="BO13" i="11"/>
  <c r="BW13" i="11"/>
  <c r="CE5" i="11"/>
  <c r="CE5" i="8"/>
  <c r="CE5" i="12"/>
  <c r="CE6" i="8"/>
  <c r="CF12" i="8"/>
  <c r="CE14" i="8"/>
  <c r="CF20" i="8"/>
  <c r="CE21" i="8"/>
  <c r="CE22" i="8"/>
  <c r="AI11" i="9"/>
  <c r="AK11" i="9" s="1"/>
  <c r="AL11" i="9" s="1"/>
  <c r="AI19" i="9"/>
  <c r="AK19" i="9" s="1"/>
  <c r="AL19" i="9" s="1"/>
  <c r="CE7" i="11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D300" i="2"/>
  <c r="C299" i="2"/>
  <c r="B298" i="2"/>
  <c r="A297" i="2"/>
  <c r="H295" i="2"/>
  <c r="F294" i="2"/>
  <c r="E293" i="2"/>
  <c r="D292" i="2"/>
  <c r="C291" i="2"/>
  <c r="B290" i="2"/>
  <c r="A289" i="2"/>
  <c r="H287" i="2"/>
  <c r="F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B300" i="2"/>
  <c r="H298" i="2"/>
  <c r="E297" i="2"/>
  <c r="C296" i="2"/>
  <c r="A295" i="2"/>
  <c r="F293" i="2"/>
  <c r="C292" i="2"/>
  <c r="A291" i="2"/>
  <c r="F289" i="2"/>
  <c r="D288" i="2"/>
  <c r="B287" i="2"/>
  <c r="H285" i="2"/>
  <c r="F284" i="2"/>
  <c r="D283" i="2"/>
  <c r="C282" i="2"/>
  <c r="B281" i="2"/>
  <c r="A280" i="2"/>
  <c r="H278" i="2"/>
  <c r="G277" i="2"/>
  <c r="F276" i="2"/>
  <c r="D275" i="2"/>
  <c r="C274" i="2"/>
  <c r="B273" i="2"/>
  <c r="A272" i="2"/>
  <c r="H270" i="2"/>
  <c r="G269" i="2"/>
  <c r="F268" i="2"/>
  <c r="D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H299" i="2"/>
  <c r="D298" i="2"/>
  <c r="H296" i="2"/>
  <c r="D295" i="2"/>
  <c r="A294" i="2"/>
  <c r="E292" i="2"/>
  <c r="H290" i="2"/>
  <c r="D289" i="2"/>
  <c r="A288" i="2"/>
  <c r="D286" i="2"/>
  <c r="A285" i="2"/>
  <c r="G283" i="2"/>
  <c r="D282" i="2"/>
  <c r="A281" i="2"/>
  <c r="G279" i="2"/>
  <c r="D278" i="2"/>
  <c r="B277" i="2"/>
  <c r="H275" i="2"/>
  <c r="F274" i="2"/>
  <c r="C273" i="2"/>
  <c r="H271" i="2"/>
  <c r="F270" i="2"/>
  <c r="C269" i="2"/>
  <c r="A268" i="2"/>
  <c r="G266" i="2"/>
  <c r="E265" i="2"/>
  <c r="D264" i="2"/>
  <c r="B263" i="2"/>
  <c r="A262" i="2"/>
  <c r="H260" i="2"/>
  <c r="G259" i="2"/>
  <c r="F258" i="2"/>
  <c r="E257" i="2"/>
  <c r="D256" i="2"/>
  <c r="B255" i="2"/>
  <c r="A254" i="2"/>
  <c r="H252" i="2"/>
  <c r="G251" i="2"/>
  <c r="F250" i="2"/>
  <c r="E249" i="2"/>
  <c r="D248" i="2"/>
  <c r="B247" i="2"/>
  <c r="A246" i="2"/>
  <c r="H244" i="2"/>
  <c r="G243" i="2"/>
  <c r="F242" i="2"/>
  <c r="E241" i="2"/>
  <c r="D240" i="2"/>
  <c r="B239" i="2"/>
  <c r="A238" i="2"/>
  <c r="H236" i="2"/>
  <c r="G235" i="2"/>
  <c r="F234" i="2"/>
  <c r="E233" i="2"/>
  <c r="D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E300" i="2"/>
  <c r="F298" i="2"/>
  <c r="B297" i="2"/>
  <c r="C295" i="2"/>
  <c r="D293" i="2"/>
  <c r="H291" i="2"/>
  <c r="C290" i="2"/>
  <c r="E288" i="2"/>
  <c r="H286" i="2"/>
  <c r="B285" i="2"/>
  <c r="F283" i="2"/>
  <c r="A282" i="2"/>
  <c r="F280" i="2"/>
  <c r="B279" i="2"/>
  <c r="F277" i="2"/>
  <c r="B276" i="2"/>
  <c r="G274" i="2"/>
  <c r="A273" i="2"/>
  <c r="F271" i="2"/>
  <c r="B270" i="2"/>
  <c r="G268" i="2"/>
  <c r="B267" i="2"/>
  <c r="G265" i="2"/>
  <c r="E264" i="2"/>
  <c r="A263" i="2"/>
  <c r="G261" i="2"/>
  <c r="E260" i="2"/>
  <c r="B259" i="2"/>
  <c r="H257" i="2"/>
  <c r="F256" i="2"/>
  <c r="D255" i="2"/>
  <c r="H253" i="2"/>
  <c r="F252" i="2"/>
  <c r="D251" i="2"/>
  <c r="A250" i="2"/>
  <c r="G248" i="2"/>
  <c r="E247" i="2"/>
  <c r="B246" i="2"/>
  <c r="G244" i="2"/>
  <c r="E243" i="2"/>
  <c r="B242" i="2"/>
  <c r="H240" i="2"/>
  <c r="F239" i="2"/>
  <c r="D238" i="2"/>
  <c r="A237" i="2"/>
  <c r="F235" i="2"/>
  <c r="D234" i="2"/>
  <c r="A233" i="2"/>
  <c r="G231" i="2"/>
  <c r="F230" i="2"/>
  <c r="E229" i="2"/>
  <c r="D228" i="2"/>
  <c r="B227" i="2"/>
  <c r="A226" i="2"/>
  <c r="H224" i="2"/>
  <c r="G223" i="2"/>
  <c r="F222" i="2"/>
  <c r="E221" i="2"/>
  <c r="D220" i="2"/>
  <c r="B219" i="2"/>
  <c r="A218" i="2"/>
  <c r="H216" i="2"/>
  <c r="G215" i="2"/>
  <c r="F214" i="2"/>
  <c r="E213" i="2"/>
  <c r="D212" i="2"/>
  <c r="B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C300" i="2"/>
  <c r="C298" i="2"/>
  <c r="D296" i="2"/>
  <c r="D294" i="2"/>
  <c r="F292" i="2"/>
  <c r="E290" i="2"/>
  <c r="F288" i="2"/>
  <c r="E286" i="2"/>
  <c r="G284" i="2"/>
  <c r="A283" i="2"/>
  <c r="D281" i="2"/>
  <c r="F279" i="2"/>
  <c r="A278" i="2"/>
  <c r="C276" i="2"/>
  <c r="D274" i="2"/>
  <c r="G272" i="2"/>
  <c r="B271" i="2"/>
  <c r="D269" i="2"/>
  <c r="G267" i="2"/>
  <c r="A266" i="2"/>
  <c r="F264" i="2"/>
  <c r="H262" i="2"/>
  <c r="E261" i="2"/>
  <c r="A260" i="2"/>
  <c r="E258" i="2"/>
  <c r="A257" i="2"/>
  <c r="F255" i="2"/>
  <c r="B254" i="2"/>
  <c r="E252" i="2"/>
  <c r="A251" i="2"/>
  <c r="F249" i="2"/>
  <c r="A248" i="2"/>
  <c r="F246" i="2"/>
  <c r="B245" i="2"/>
  <c r="F243" i="2"/>
  <c r="A242" i="2"/>
  <c r="F240" i="2"/>
  <c r="A239" i="2"/>
  <c r="F237" i="2"/>
  <c r="B236" i="2"/>
  <c r="G234" i="2"/>
  <c r="B233" i="2"/>
  <c r="F231" i="2"/>
  <c r="D230" i="2"/>
  <c r="A229" i="2"/>
  <c r="G227" i="2"/>
  <c r="E226" i="2"/>
  <c r="B225" i="2"/>
  <c r="H223" i="2"/>
  <c r="E222" i="2"/>
  <c r="B221" i="2"/>
  <c r="H219" i="2"/>
  <c r="F218" i="2"/>
  <c r="D217" i="2"/>
  <c r="A216" i="2"/>
  <c r="G214" i="2"/>
  <c r="D213" i="2"/>
  <c r="A212" i="2"/>
  <c r="G210" i="2"/>
  <c r="E209" i="2"/>
  <c r="D208" i="2"/>
  <c r="C207" i="2"/>
  <c r="B206" i="2"/>
  <c r="H204" i="2"/>
  <c r="G203" i="2"/>
  <c r="F202" i="2"/>
  <c r="E201" i="2"/>
  <c r="D200" i="2"/>
  <c r="C199" i="2"/>
  <c r="B198" i="2"/>
  <c r="H196" i="2"/>
  <c r="G195" i="2"/>
  <c r="F194" i="2"/>
  <c r="E193" i="2"/>
  <c r="D192" i="2"/>
  <c r="C191" i="2"/>
  <c r="B190" i="2"/>
  <c r="H188" i="2"/>
  <c r="G187" i="2"/>
  <c r="F186" i="2"/>
  <c r="E185" i="2"/>
  <c r="D184" i="2"/>
  <c r="C183" i="2"/>
  <c r="B182" i="2"/>
  <c r="H180" i="2"/>
  <c r="G179" i="2"/>
  <c r="F178" i="2"/>
  <c r="E177" i="2"/>
  <c r="D176" i="2"/>
  <c r="C175" i="2"/>
  <c r="B174" i="2"/>
  <c r="H172" i="2"/>
  <c r="G171" i="2"/>
  <c r="F170" i="2"/>
  <c r="E169" i="2"/>
  <c r="D168" i="2"/>
  <c r="C167" i="2"/>
  <c r="B166" i="2"/>
  <c r="H164" i="2"/>
  <c r="G163" i="2"/>
  <c r="F162" i="2"/>
  <c r="E161" i="2"/>
  <c r="D160" i="2"/>
  <c r="C159" i="2"/>
  <c r="B158" i="2"/>
  <c r="H156" i="2"/>
  <c r="G155" i="2"/>
  <c r="F154" i="2"/>
  <c r="E153" i="2"/>
  <c r="D152" i="2"/>
  <c r="C151" i="2"/>
  <c r="B150" i="2"/>
  <c r="H148" i="2"/>
  <c r="G147" i="2"/>
  <c r="F146" i="2"/>
  <c r="E145" i="2"/>
  <c r="D144" i="2"/>
  <c r="C143" i="2"/>
  <c r="B142" i="2"/>
  <c r="H140" i="2"/>
  <c r="G139" i="2"/>
  <c r="F138" i="2"/>
  <c r="E137" i="2"/>
  <c r="D136" i="2"/>
  <c r="C135" i="2"/>
  <c r="B134" i="2"/>
  <c r="H132" i="2"/>
  <c r="G131" i="2"/>
  <c r="F130" i="2"/>
  <c r="E129" i="2"/>
  <c r="D128" i="2"/>
  <c r="C127" i="2"/>
  <c r="B126" i="2"/>
  <c r="H124" i="2"/>
  <c r="G123" i="2"/>
  <c r="F122" i="2"/>
  <c r="E121" i="2"/>
  <c r="D120" i="2"/>
  <c r="C119" i="2"/>
  <c r="B118" i="2"/>
  <c r="H116" i="2"/>
  <c r="G115" i="2"/>
  <c r="F114" i="2"/>
  <c r="E113" i="2"/>
  <c r="D112" i="2"/>
  <c r="C111" i="2"/>
  <c r="B110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E299" i="2"/>
  <c r="D297" i="2"/>
  <c r="B295" i="2"/>
  <c r="A293" i="2"/>
  <c r="F290" i="2"/>
  <c r="C288" i="2"/>
  <c r="B286" i="2"/>
  <c r="B284" i="2"/>
  <c r="B282" i="2"/>
  <c r="C280" i="2"/>
  <c r="C278" i="2"/>
  <c r="D276" i="2"/>
  <c r="B274" i="2"/>
  <c r="D272" i="2"/>
  <c r="D270" i="2"/>
  <c r="D268" i="2"/>
  <c r="F266" i="2"/>
  <c r="H264" i="2"/>
  <c r="D263" i="2"/>
  <c r="D261" i="2"/>
  <c r="F259" i="2"/>
  <c r="A258" i="2"/>
  <c r="B256" i="2"/>
  <c r="F254" i="2"/>
  <c r="A253" i="2"/>
  <c r="B251" i="2"/>
  <c r="D249" i="2"/>
  <c r="G247" i="2"/>
  <c r="H245" i="2"/>
  <c r="D244" i="2"/>
  <c r="G242" i="2"/>
  <c r="A241" i="2"/>
  <c r="D239" i="2"/>
  <c r="E237" i="2"/>
  <c r="H235" i="2"/>
  <c r="A234" i="2"/>
  <c r="E232" i="2"/>
  <c r="H230" i="2"/>
  <c r="D229" i="2"/>
  <c r="H227" i="2"/>
  <c r="D226" i="2"/>
  <c r="G224" i="2"/>
  <c r="D223" i="2"/>
  <c r="H221" i="2"/>
  <c r="E220" i="2"/>
  <c r="H218" i="2"/>
  <c r="E217" i="2"/>
  <c r="H215" i="2"/>
  <c r="D214" i="2"/>
  <c r="H212" i="2"/>
  <c r="E211" i="2"/>
  <c r="H209" i="2"/>
  <c r="F208" i="2"/>
  <c r="D207" i="2"/>
  <c r="H205" i="2"/>
  <c r="F204" i="2"/>
  <c r="D203" i="2"/>
  <c r="B202" i="2"/>
  <c r="G200" i="2"/>
  <c r="E199" i="2"/>
  <c r="C198" i="2"/>
  <c r="G196" i="2"/>
  <c r="E195" i="2"/>
  <c r="C194" i="2"/>
  <c r="H192" i="2"/>
  <c r="F191" i="2"/>
  <c r="D190" i="2"/>
  <c r="B189" i="2"/>
  <c r="F187" i="2"/>
  <c r="D186" i="2"/>
  <c r="B185" i="2"/>
  <c r="G183" i="2"/>
  <c r="E182" i="2"/>
  <c r="C181" i="2"/>
  <c r="H179" i="2"/>
  <c r="E178" i="2"/>
  <c r="C177" i="2"/>
  <c r="H175" i="2"/>
  <c r="F174" i="2"/>
  <c r="D173" i="2"/>
  <c r="B172" i="2"/>
  <c r="G170" i="2"/>
  <c r="D169" i="2"/>
  <c r="B168" i="2"/>
  <c r="G166" i="2"/>
  <c r="E165" i="2"/>
  <c r="C164" i="2"/>
  <c r="H162" i="2"/>
  <c r="F161" i="2"/>
  <c r="C160" i="2"/>
  <c r="H158" i="2"/>
  <c r="F157" i="2"/>
  <c r="D156" i="2"/>
  <c r="B155" i="2"/>
  <c r="G153" i="2"/>
  <c r="E152" i="2"/>
  <c r="B151" i="2"/>
  <c r="G149" i="2"/>
  <c r="E148" i="2"/>
  <c r="C147" i="2"/>
  <c r="H145" i="2"/>
  <c r="F144" i="2"/>
  <c r="D143" i="2"/>
  <c r="H141" i="2"/>
  <c r="F140" i="2"/>
  <c r="D139" i="2"/>
  <c r="B138" i="2"/>
  <c r="G136" i="2"/>
  <c r="E135" i="2"/>
  <c r="C134" i="2"/>
  <c r="G132" i="2"/>
  <c r="E131" i="2"/>
  <c r="C130" i="2"/>
  <c r="H128" i="2"/>
  <c r="F127" i="2"/>
  <c r="D126" i="2"/>
  <c r="B125" i="2"/>
  <c r="F123" i="2"/>
  <c r="D122" i="2"/>
  <c r="B121" i="2"/>
  <c r="G119" i="2"/>
  <c r="E118" i="2"/>
  <c r="C117" i="2"/>
  <c r="H115" i="2"/>
  <c r="E114" i="2"/>
  <c r="C113" i="2"/>
  <c r="H111" i="2"/>
  <c r="F110" i="2"/>
  <c r="D109" i="2"/>
  <c r="B108" i="2"/>
  <c r="A107" i="2"/>
  <c r="G105" i="2"/>
  <c r="F104" i="2"/>
  <c r="E103" i="2"/>
  <c r="D102" i="2"/>
  <c r="C101" i="2"/>
  <c r="B100" i="2"/>
  <c r="A99" i="2"/>
  <c r="G97" i="2"/>
  <c r="F96" i="2"/>
  <c r="E95" i="2"/>
  <c r="D94" i="2"/>
  <c r="C93" i="2"/>
  <c r="B92" i="2"/>
  <c r="A91" i="2"/>
  <c r="G89" i="2"/>
  <c r="F88" i="2"/>
  <c r="E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299" i="2"/>
  <c r="C297" i="2"/>
  <c r="H294" i="2"/>
  <c r="H292" i="2"/>
  <c r="D290" i="2"/>
  <c r="B288" i="2"/>
  <c r="A286" i="2"/>
  <c r="A284" i="2"/>
  <c r="H281" i="2"/>
  <c r="B280" i="2"/>
  <c r="B278" i="2"/>
  <c r="A276" i="2"/>
  <c r="A274" i="2"/>
  <c r="C272" i="2"/>
  <c r="C270" i="2"/>
  <c r="C268" i="2"/>
  <c r="D266" i="2"/>
  <c r="G264" i="2"/>
  <c r="G262" i="2"/>
  <c r="B261" i="2"/>
  <c r="E259" i="2"/>
  <c r="G257" i="2"/>
  <c r="A256" i="2"/>
  <c r="E254" i="2"/>
  <c r="G252" i="2"/>
  <c r="H250" i="2"/>
  <c r="B249" i="2"/>
  <c r="F247" i="2"/>
  <c r="G245" i="2"/>
  <c r="B244" i="2"/>
  <c r="E242" i="2"/>
  <c r="G240" i="2"/>
  <c r="H238" i="2"/>
  <c r="D237" i="2"/>
  <c r="E235" i="2"/>
  <c r="H233" i="2"/>
  <c r="B232" i="2"/>
  <c r="G230" i="2"/>
  <c r="B229" i="2"/>
  <c r="F227" i="2"/>
  <c r="B226" i="2"/>
  <c r="F224" i="2"/>
  <c r="B223" i="2"/>
  <c r="G221" i="2"/>
  <c r="B220" i="2"/>
  <c r="G218" i="2"/>
  <c r="B217" i="2"/>
  <c r="F215" i="2"/>
  <c r="B214" i="2"/>
  <c r="G212" i="2"/>
  <c r="D211" i="2"/>
  <c r="G209" i="2"/>
  <c r="E208" i="2"/>
  <c r="B207" i="2"/>
  <c r="G205" i="2"/>
  <c r="E204" i="2"/>
  <c r="C203" i="2"/>
  <c r="H201" i="2"/>
  <c r="F200" i="2"/>
  <c r="D199" i="2"/>
  <c r="H197" i="2"/>
  <c r="F196" i="2"/>
  <c r="D195" i="2"/>
  <c r="B194" i="2"/>
  <c r="G192" i="2"/>
  <c r="E191" i="2"/>
  <c r="C190" i="2"/>
  <c r="G188" i="2"/>
  <c r="E187" i="2"/>
  <c r="C186" i="2"/>
  <c r="H184" i="2"/>
  <c r="F183" i="2"/>
  <c r="D182" i="2"/>
  <c r="B181" i="2"/>
  <c r="F179" i="2"/>
  <c r="D178" i="2"/>
  <c r="B177" i="2"/>
  <c r="G175" i="2"/>
  <c r="E174" i="2"/>
  <c r="C173" i="2"/>
  <c r="H171" i="2"/>
  <c r="E170" i="2"/>
  <c r="C169" i="2"/>
  <c r="H167" i="2"/>
  <c r="F166" i="2"/>
  <c r="D165" i="2"/>
  <c r="B164" i="2"/>
  <c r="G162" i="2"/>
  <c r="D161" i="2"/>
  <c r="B160" i="2"/>
  <c r="G158" i="2"/>
  <c r="E157" i="2"/>
  <c r="C156" i="2"/>
  <c r="H154" i="2"/>
  <c r="F153" i="2"/>
  <c r="C152" i="2"/>
  <c r="H150" i="2"/>
  <c r="F149" i="2"/>
  <c r="D148" i="2"/>
  <c r="B147" i="2"/>
  <c r="G145" i="2"/>
  <c r="E144" i="2"/>
  <c r="B143" i="2"/>
  <c r="G141" i="2"/>
  <c r="E140" i="2"/>
  <c r="C139" i="2"/>
  <c r="H137" i="2"/>
  <c r="F136" i="2"/>
  <c r="D135" i="2"/>
  <c r="H133" i="2"/>
  <c r="F132" i="2"/>
  <c r="D131" i="2"/>
  <c r="B130" i="2"/>
  <c r="G128" i="2"/>
  <c r="E127" i="2"/>
  <c r="C126" i="2"/>
  <c r="G124" i="2"/>
  <c r="E123" i="2"/>
  <c r="C122" i="2"/>
  <c r="H120" i="2"/>
  <c r="F119" i="2"/>
  <c r="D118" i="2"/>
  <c r="B117" i="2"/>
  <c r="F115" i="2"/>
  <c r="D114" i="2"/>
  <c r="B113" i="2"/>
  <c r="G111" i="2"/>
  <c r="E110" i="2"/>
  <c r="C109" i="2"/>
  <c r="A108" i="2"/>
  <c r="G106" i="2"/>
  <c r="F105" i="2"/>
  <c r="E104" i="2"/>
  <c r="D103" i="2"/>
  <c r="C102" i="2"/>
  <c r="B101" i="2"/>
  <c r="A100" i="2"/>
  <c r="G98" i="2"/>
  <c r="F97" i="2"/>
  <c r="E96" i="2"/>
  <c r="D95" i="2"/>
  <c r="C94" i="2"/>
  <c r="B93" i="2"/>
  <c r="A92" i="2"/>
  <c r="G90" i="2"/>
  <c r="F89" i="2"/>
  <c r="E88" i="2"/>
  <c r="D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B299" i="2"/>
  <c r="F296" i="2"/>
  <c r="E294" i="2"/>
  <c r="B292" i="2"/>
  <c r="A290" i="2"/>
  <c r="F287" i="2"/>
  <c r="F285" i="2"/>
  <c r="H283" i="2"/>
  <c r="G281" i="2"/>
  <c r="H279" i="2"/>
  <c r="H277" i="2"/>
  <c r="G275" i="2"/>
  <c r="H273" i="2"/>
  <c r="B272" i="2"/>
  <c r="A270" i="2"/>
  <c r="B268" i="2"/>
  <c r="B266" i="2"/>
  <c r="B264" i="2"/>
  <c r="F262" i="2"/>
  <c r="A261" i="2"/>
  <c r="D259" i="2"/>
  <c r="F257" i="2"/>
  <c r="H255" i="2"/>
  <c r="D254" i="2"/>
  <c r="D252" i="2"/>
  <c r="G250" i="2"/>
  <c r="A249" i="2"/>
  <c r="D247" i="2"/>
  <c r="F245" i="2"/>
  <c r="A244" i="2"/>
  <c r="D242" i="2"/>
  <c r="E240" i="2"/>
  <c r="G238" i="2"/>
  <c r="B237" i="2"/>
  <c r="D235" i="2"/>
  <c r="G233" i="2"/>
  <c r="A232" i="2"/>
  <c r="E230" i="2"/>
  <c r="H228" i="2"/>
  <c r="F299" i="2"/>
  <c r="A296" i="2"/>
  <c r="A292" i="2"/>
  <c r="B289" i="2"/>
  <c r="C285" i="2"/>
  <c r="F282" i="2"/>
  <c r="A279" i="2"/>
  <c r="F275" i="2"/>
  <c r="H272" i="2"/>
  <c r="F269" i="2"/>
  <c r="H266" i="2"/>
  <c r="G263" i="2"/>
  <c r="G260" i="2"/>
  <c r="D258" i="2"/>
  <c r="E255" i="2"/>
  <c r="B253" i="2"/>
  <c r="B250" i="2"/>
  <c r="A247" i="2"/>
  <c r="F244" i="2"/>
  <c r="G241" i="2"/>
  <c r="E239" i="2"/>
  <c r="E236" i="2"/>
  <c r="F233" i="2"/>
  <c r="B231" i="2"/>
  <c r="F228" i="2"/>
  <c r="G226" i="2"/>
  <c r="E224" i="2"/>
  <c r="G222" i="2"/>
  <c r="G220" i="2"/>
  <c r="E218" i="2"/>
  <c r="F216" i="2"/>
  <c r="H214" i="2"/>
  <c r="F212" i="2"/>
  <c r="F210" i="2"/>
  <c r="H208" i="2"/>
  <c r="H206" i="2"/>
  <c r="D205" i="2"/>
  <c r="F203" i="2"/>
  <c r="G201" i="2"/>
  <c r="B200" i="2"/>
  <c r="E198" i="2"/>
  <c r="E196" i="2"/>
  <c r="H194" i="2"/>
  <c r="C193" i="2"/>
  <c r="D191" i="2"/>
  <c r="F189" i="2"/>
  <c r="B188" i="2"/>
  <c r="B186" i="2"/>
  <c r="E184" i="2"/>
  <c r="G182" i="2"/>
  <c r="G180" i="2"/>
  <c r="C179" i="2"/>
  <c r="F177" i="2"/>
  <c r="F175" i="2"/>
  <c r="H173" i="2"/>
  <c r="D172" i="2"/>
  <c r="D170" i="2"/>
  <c r="G168" i="2"/>
  <c r="B167" i="2"/>
  <c r="C165" i="2"/>
  <c r="E163" i="2"/>
  <c r="H161" i="2"/>
  <c r="H159" i="2"/>
  <c r="D158" i="2"/>
  <c r="F156" i="2"/>
  <c r="G154" i="2"/>
  <c r="B153" i="2"/>
  <c r="E151" i="2"/>
  <c r="E149" i="2"/>
  <c r="H147" i="2"/>
  <c r="C146" i="2"/>
  <c r="C144" i="2"/>
  <c r="F142" i="2"/>
  <c r="B141" i="2"/>
  <c r="B139" i="2"/>
  <c r="D137" i="2"/>
  <c r="G135" i="2"/>
  <c r="G133" i="2"/>
  <c r="C132" i="2"/>
  <c r="E130" i="2"/>
  <c r="F128" i="2"/>
  <c r="H126" i="2"/>
  <c r="D125" i="2"/>
  <c r="D123" i="2"/>
  <c r="G121" i="2"/>
  <c r="B120" i="2"/>
  <c r="C118" i="2"/>
  <c r="E116" i="2"/>
  <c r="H114" i="2"/>
  <c r="H112" i="2"/>
  <c r="D111" i="2"/>
  <c r="F109" i="2"/>
  <c r="G107" i="2"/>
  <c r="D106" i="2"/>
  <c r="A105" i="2"/>
  <c r="C103" i="2"/>
  <c r="G101" i="2"/>
  <c r="D100" i="2"/>
  <c r="F98" i="2"/>
  <c r="C97" i="2"/>
  <c r="G95" i="2"/>
  <c r="B94" i="2"/>
  <c r="F92" i="2"/>
  <c r="C91" i="2"/>
  <c r="E89" i="2"/>
  <c r="B88" i="2"/>
  <c r="F86" i="2"/>
  <c r="B85" i="2"/>
  <c r="H83" i="2"/>
  <c r="F82" i="2"/>
  <c r="B81" i="2"/>
  <c r="H79" i="2"/>
  <c r="F78" i="2"/>
  <c r="B77" i="2"/>
  <c r="H75" i="2"/>
  <c r="F74" i="2"/>
  <c r="B73" i="2"/>
  <c r="H71" i="2"/>
  <c r="F70" i="2"/>
  <c r="B69" i="2"/>
  <c r="H67" i="2"/>
  <c r="F66" i="2"/>
  <c r="E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  <c r="A299" i="2"/>
  <c r="F295" i="2"/>
  <c r="F291" i="2"/>
  <c r="H288" i="2"/>
  <c r="H284" i="2"/>
  <c r="F281" i="2"/>
  <c r="G278" i="2"/>
  <c r="C275" i="2"/>
  <c r="F272" i="2"/>
  <c r="B269" i="2"/>
  <c r="H265" i="2"/>
  <c r="F263" i="2"/>
  <c r="F260" i="2"/>
  <c r="B258" i="2"/>
  <c r="A255" i="2"/>
  <c r="B252" i="2"/>
  <c r="H249" i="2"/>
  <c r="H246" i="2"/>
  <c r="E244" i="2"/>
  <c r="F241" i="2"/>
  <c r="F238" i="2"/>
  <c r="D236" i="2"/>
  <c r="D233" i="2"/>
  <c r="A231" i="2"/>
  <c r="E228" i="2"/>
  <c r="F226" i="2"/>
  <c r="D224" i="2"/>
  <c r="D222" i="2"/>
  <c r="F220" i="2"/>
  <c r="D218" i="2"/>
  <c r="E216" i="2"/>
  <c r="E214" i="2"/>
  <c r="E212" i="2"/>
  <c r="E210" i="2"/>
  <c r="G208" i="2"/>
  <c r="G206" i="2"/>
  <c r="C205" i="2"/>
  <c r="E203" i="2"/>
  <c r="F201" i="2"/>
  <c r="H199" i="2"/>
  <c r="D198" i="2"/>
  <c r="D196" i="2"/>
  <c r="G194" i="2"/>
  <c r="B193" i="2"/>
  <c r="B191" i="2"/>
  <c r="E189" i="2"/>
  <c r="H187" i="2"/>
  <c r="H185" i="2"/>
  <c r="C184" i="2"/>
  <c r="F182" i="2"/>
  <c r="F180" i="2"/>
  <c r="B179" i="2"/>
  <c r="D177" i="2"/>
  <c r="E175" i="2"/>
  <c r="G173" i="2"/>
  <c r="C172" i="2"/>
  <c r="C170" i="2"/>
  <c r="F168" i="2"/>
  <c r="H166" i="2"/>
  <c r="B165" i="2"/>
  <c r="D163" i="2"/>
  <c r="G161" i="2"/>
  <c r="G159" i="2"/>
  <c r="C158" i="2"/>
  <c r="E156" i="2"/>
  <c r="E154" i="2"/>
  <c r="H152" i="2"/>
  <c r="D151" i="2"/>
  <c r="D149" i="2"/>
  <c r="F147" i="2"/>
  <c r="B146" i="2"/>
  <c r="B144" i="2"/>
  <c r="E142" i="2"/>
  <c r="G140" i="2"/>
  <c r="H138" i="2"/>
  <c r="C137" i="2"/>
  <c r="F135" i="2"/>
  <c r="F133" i="2"/>
  <c r="B132" i="2"/>
  <c r="D130" i="2"/>
  <c r="E128" i="2"/>
  <c r="G126" i="2"/>
  <c r="C125" i="2"/>
  <c r="C123" i="2"/>
  <c r="F121" i="2"/>
  <c r="H119" i="2"/>
  <c r="H117" i="2"/>
  <c r="D116" i="2"/>
  <c r="G114" i="2"/>
  <c r="G112" i="2"/>
  <c r="B111" i="2"/>
  <c r="E109" i="2"/>
  <c r="F107" i="2"/>
  <c r="C106" i="2"/>
  <c r="G104" i="2"/>
  <c r="B103" i="2"/>
  <c r="F101" i="2"/>
  <c r="C100" i="2"/>
  <c r="E98" i="2"/>
  <c r="B97" i="2"/>
  <c r="F95" i="2"/>
  <c r="A94" i="2"/>
  <c r="E92" i="2"/>
  <c r="B91" i="2"/>
  <c r="D89" i="2"/>
  <c r="A88" i="2"/>
  <c r="E86" i="2"/>
  <c r="A85" i="2"/>
  <c r="G83" i="2"/>
  <c r="E82" i="2"/>
  <c r="A81" i="2"/>
  <c r="G79" i="2"/>
  <c r="E78" i="2"/>
  <c r="A77" i="2"/>
  <c r="G75" i="2"/>
  <c r="E74" i="2"/>
  <c r="A73" i="2"/>
  <c r="G71" i="2"/>
  <c r="E70" i="2"/>
  <c r="A69" i="2"/>
  <c r="G67" i="2"/>
  <c r="E66" i="2"/>
  <c r="C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A298" i="2"/>
  <c r="C294" i="2"/>
  <c r="D291" i="2"/>
  <c r="D287" i="2"/>
  <c r="C284" i="2"/>
  <c r="H280" i="2"/>
  <c r="D277" i="2"/>
  <c r="A275" i="2"/>
  <c r="D271" i="2"/>
  <c r="H268" i="2"/>
  <c r="D265" i="2"/>
  <c r="E262" i="2"/>
  <c r="B260" i="2"/>
  <c r="B257" i="2"/>
  <c r="G254" i="2"/>
  <c r="H251" i="2"/>
  <c r="H248" i="2"/>
  <c r="E246" i="2"/>
  <c r="D243" i="2"/>
  <c r="B241" i="2"/>
  <c r="B238" i="2"/>
  <c r="B235" i="2"/>
  <c r="G232" i="2"/>
  <c r="A230" i="2"/>
  <c r="A228" i="2"/>
  <c r="G225" i="2"/>
  <c r="A224" i="2"/>
  <c r="A222" i="2"/>
  <c r="G219" i="2"/>
  <c r="H217" i="2"/>
  <c r="B216" i="2"/>
  <c r="H213" i="2"/>
  <c r="H211" i="2"/>
  <c r="B210" i="2"/>
  <c r="B208" i="2"/>
  <c r="E206" i="2"/>
  <c r="G204" i="2"/>
  <c r="H202" i="2"/>
  <c r="C201" i="2"/>
  <c r="F199" i="2"/>
  <c r="F197" i="2"/>
  <c r="B196" i="2"/>
  <c r="D194" i="2"/>
  <c r="E192" i="2"/>
  <c r="G190" i="2"/>
  <c r="C189" i="2"/>
  <c r="C187" i="2"/>
  <c r="F185" i="2"/>
  <c r="H183" i="2"/>
  <c r="H181" i="2"/>
  <c r="D180" i="2"/>
  <c r="G178" i="2"/>
  <c r="G176" i="2"/>
  <c r="B175" i="2"/>
  <c r="E173" i="2"/>
  <c r="E171" i="2"/>
  <c r="H169" i="2"/>
  <c r="C168" i="2"/>
  <c r="D166" i="2"/>
  <c r="F164" i="2"/>
  <c r="B163" i="2"/>
  <c r="B161" i="2"/>
  <c r="E159" i="2"/>
  <c r="G157" i="2"/>
  <c r="H155" i="2"/>
  <c r="C154" i="2"/>
  <c r="F152" i="2"/>
  <c r="F150" i="2"/>
  <c r="B149" i="2"/>
  <c r="D147" i="2"/>
  <c r="D145" i="2"/>
  <c r="G143" i="2"/>
  <c r="C142" i="2"/>
  <c r="C140" i="2"/>
  <c r="E138" i="2"/>
  <c r="H136" i="2"/>
  <c r="H134" i="2"/>
  <c r="D133" i="2"/>
  <c r="F131" i="2"/>
  <c r="G129" i="2"/>
  <c r="B128" i="2"/>
  <c r="E126" i="2"/>
  <c r="E124" i="2"/>
  <c r="H122" i="2"/>
  <c r="C121" i="2"/>
  <c r="D119" i="2"/>
  <c r="F117" i="2"/>
  <c r="B116" i="2"/>
  <c r="B114" i="2"/>
  <c r="E112" i="2"/>
  <c r="G110" i="2"/>
  <c r="G108" i="2"/>
  <c r="D107" i="2"/>
  <c r="A106" i="2"/>
  <c r="C104" i="2"/>
  <c r="G102" i="2"/>
  <c r="D101" i="2"/>
  <c r="F99" i="2"/>
  <c r="C98" i="2"/>
  <c r="G96" i="2"/>
  <c r="B95" i="2"/>
  <c r="F93" i="2"/>
  <c r="C92" i="2"/>
  <c r="E90" i="2"/>
  <c r="B89" i="2"/>
  <c r="F87" i="2"/>
  <c r="A86" i="2"/>
  <c r="G84" i="2"/>
  <c r="E83" i="2"/>
  <c r="A82" i="2"/>
  <c r="G80" i="2"/>
  <c r="E79" i="2"/>
  <c r="A78" i="2"/>
  <c r="G76" i="2"/>
  <c r="E75" i="2"/>
  <c r="A74" i="2"/>
  <c r="G72" i="2"/>
  <c r="E71" i="2"/>
  <c r="A70" i="2"/>
  <c r="G68" i="2"/>
  <c r="E67" i="2"/>
  <c r="B66" i="2"/>
  <c r="A65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1" i="2"/>
  <c r="A1" i="2"/>
  <c r="B294" i="2"/>
  <c r="B291" i="2"/>
  <c r="D2" i="2"/>
  <c r="F3" i="2"/>
  <c r="A5" i="2"/>
  <c r="D6" i="2"/>
  <c r="F7" i="2"/>
  <c r="A9" i="2"/>
  <c r="D10" i="2"/>
  <c r="F11" i="2"/>
  <c r="A13" i="2"/>
  <c r="D14" i="2"/>
  <c r="F15" i="2"/>
  <c r="A17" i="2"/>
  <c r="D18" i="2"/>
  <c r="F19" i="2"/>
  <c r="A21" i="2"/>
  <c r="D22" i="2"/>
  <c r="F23" i="2"/>
  <c r="A25" i="2"/>
  <c r="D26" i="2"/>
  <c r="F27" i="2"/>
  <c r="A29" i="2"/>
  <c r="D30" i="2"/>
  <c r="F31" i="2"/>
  <c r="A33" i="2"/>
  <c r="E34" i="2"/>
  <c r="A36" i="2"/>
  <c r="F37" i="2"/>
  <c r="D39" i="2"/>
  <c r="G40" i="2"/>
  <c r="E42" i="2"/>
  <c r="A44" i="2"/>
  <c r="F45" i="2"/>
  <c r="D47" i="2"/>
  <c r="G48" i="2"/>
  <c r="E50" i="2"/>
  <c r="A52" i="2"/>
  <c r="F53" i="2"/>
  <c r="D55" i="2"/>
  <c r="G56" i="2"/>
  <c r="E58" i="2"/>
  <c r="A60" i="2"/>
  <c r="F61" i="2"/>
  <c r="D63" i="2"/>
  <c r="H64" i="2"/>
  <c r="H66" i="2"/>
  <c r="H68" i="2"/>
  <c r="A71" i="2"/>
  <c r="E73" i="2"/>
  <c r="B75" i="2"/>
  <c r="F77" i="2"/>
  <c r="F79" i="2"/>
  <c r="G81" i="2"/>
  <c r="A84" i="2"/>
  <c r="H85" i="2"/>
  <c r="D88" i="2"/>
  <c r="F90" i="2"/>
  <c r="D93" i="2"/>
  <c r="A96" i="2"/>
  <c r="B98" i="2"/>
  <c r="F100" i="2"/>
  <c r="A103" i="2"/>
  <c r="D105" i="2"/>
  <c r="C108" i="2"/>
  <c r="D110" i="2"/>
  <c r="F113" i="2"/>
  <c r="C116" i="2"/>
  <c r="H118" i="2"/>
  <c r="H121" i="2"/>
  <c r="D124" i="2"/>
  <c r="D127" i="2"/>
  <c r="H129" i="2"/>
  <c r="B133" i="2"/>
  <c r="H135" i="2"/>
  <c r="D138" i="2"/>
  <c r="D141" i="2"/>
  <c r="H143" i="2"/>
  <c r="G146" i="2"/>
  <c r="H149" i="2"/>
  <c r="B152" i="2"/>
  <c r="D155" i="2"/>
  <c r="H157" i="2"/>
  <c r="G160" i="2"/>
  <c r="F163" i="2"/>
  <c r="C166" i="2"/>
  <c r="B169" i="2"/>
  <c r="F171" i="2"/>
  <c r="G174" i="2"/>
  <c r="G177" i="2"/>
  <c r="C180" i="2"/>
  <c r="B183" i="2"/>
  <c r="G185" i="2"/>
  <c r="E188" i="2"/>
  <c r="G191" i="2"/>
  <c r="H193" i="2"/>
  <c r="C197" i="2"/>
  <c r="G199" i="2"/>
  <c r="E202" i="2"/>
  <c r="E205" i="2"/>
  <c r="H207" i="2"/>
  <c r="A211" i="2"/>
  <c r="A214" i="2"/>
  <c r="F217" i="2"/>
  <c r="H220" i="2"/>
  <c r="F223" i="2"/>
  <c r="A227" i="2"/>
  <c r="B230" i="2"/>
  <c r="H234" i="2"/>
  <c r="G239" i="2"/>
  <c r="B243" i="2"/>
  <c r="B248" i="2"/>
  <c r="A252" i="2"/>
  <c r="G256" i="2"/>
  <c r="F261" i="2"/>
  <c r="B265" i="2"/>
  <c r="G270" i="2"/>
  <c r="B275" i="2"/>
  <c r="D280" i="2"/>
  <c r="D285" i="2"/>
  <c r="E291" i="2"/>
  <c r="H297" i="2"/>
  <c r="D52" i="2"/>
  <c r="G53" i="2"/>
  <c r="E55" i="2"/>
  <c r="A57" i="2"/>
  <c r="F58" i="2"/>
  <c r="D60" i="2"/>
  <c r="G61" i="2"/>
  <c r="E63" i="2"/>
  <c r="B65" i="2"/>
  <c r="A67" i="2"/>
  <c r="E69" i="2"/>
  <c r="B71" i="2"/>
  <c r="F73" i="2"/>
  <c r="F75" i="2"/>
  <c r="G77" i="2"/>
  <c r="A80" i="2"/>
  <c r="H81" i="2"/>
  <c r="B84" i="2"/>
  <c r="B86" i="2"/>
  <c r="G88" i="2"/>
  <c r="D91" i="2"/>
  <c r="E93" i="2"/>
  <c r="B96" i="2"/>
  <c r="D98" i="2"/>
  <c r="G100" i="2"/>
  <c r="F103" i="2"/>
  <c r="E105" i="2"/>
  <c r="D108" i="2"/>
  <c r="H110" i="2"/>
  <c r="G113" i="2"/>
  <c r="F116" i="2"/>
  <c r="B119" i="2"/>
  <c r="B122" i="2"/>
  <c r="F124" i="2"/>
  <c r="G127" i="2"/>
  <c r="G130" i="2"/>
  <c r="C133" i="2"/>
  <c r="B136" i="2"/>
  <c r="G138" i="2"/>
  <c r="E141" i="2"/>
  <c r="G144" i="2"/>
  <c r="H146" i="2"/>
  <c r="C150" i="2"/>
  <c r="G152" i="2"/>
  <c r="E155" i="2"/>
  <c r="E158" i="2"/>
  <c r="H160" i="2"/>
  <c r="H163" i="2"/>
  <c r="E166" i="2"/>
  <c r="F169" i="2"/>
  <c r="E172" i="2"/>
  <c r="H174" i="2"/>
  <c r="H177" i="2"/>
  <c r="E180" i="2"/>
  <c r="D183" i="2"/>
  <c r="E186" i="2"/>
  <c r="F188" i="2"/>
  <c r="H191" i="2"/>
  <c r="E194" i="2"/>
  <c r="D197" i="2"/>
  <c r="C200" i="2"/>
  <c r="G202" i="2"/>
  <c r="F205" i="2"/>
  <c r="C208" i="2"/>
  <c r="F211" i="2"/>
  <c r="A215" i="2"/>
  <c r="G217" i="2"/>
  <c r="A221" i="2"/>
  <c r="B224" i="2"/>
  <c r="D227" i="2"/>
  <c r="D231" i="2"/>
  <c r="A235" i="2"/>
  <c r="H239" i="2"/>
  <c r="H243" i="2"/>
  <c r="E248" i="2"/>
  <c r="D253" i="2"/>
  <c r="H256" i="2"/>
  <c r="H261" i="2"/>
  <c r="F265" i="2"/>
  <c r="A271" i="2"/>
  <c r="G276" i="2"/>
  <c r="G280" i="2"/>
  <c r="C286" i="2"/>
  <c r="B293" i="2"/>
  <c r="E298" i="2"/>
  <c r="D49" i="2"/>
  <c r="G50" i="2"/>
  <c r="E52" i="2"/>
  <c r="A54" i="2"/>
  <c r="F55" i="2"/>
  <c r="D57" i="2"/>
  <c r="G58" i="2"/>
  <c r="E60" i="2"/>
  <c r="A62" i="2"/>
  <c r="F63" i="2"/>
  <c r="F65" i="2"/>
  <c r="B67" i="2"/>
  <c r="F69" i="2"/>
  <c r="F71" i="2"/>
  <c r="G73" i="2"/>
  <c r="A76" i="2"/>
  <c r="H77" i="2"/>
  <c r="B80" i="2"/>
  <c r="B82" i="2"/>
  <c r="E84" i="2"/>
  <c r="G86" i="2"/>
  <c r="A89" i="2"/>
  <c r="E91" i="2"/>
  <c r="G93" i="2"/>
  <c r="C96" i="2"/>
  <c r="B99" i="2"/>
  <c r="A101" i="2"/>
  <c r="G103" i="2"/>
  <c r="B106" i="2"/>
  <c r="E108" i="2"/>
  <c r="E111" i="2"/>
  <c r="H113" i="2"/>
  <c r="G116" i="2"/>
  <c r="E119" i="2"/>
  <c r="E122" i="2"/>
  <c r="E125" i="2"/>
  <c r="H127" i="2"/>
  <c r="H130" i="2"/>
  <c r="E133" i="2"/>
  <c r="C136" i="2"/>
  <c r="E139" i="2"/>
  <c r="F141" i="2"/>
  <c r="H144" i="2"/>
  <c r="E147" i="2"/>
  <c r="D150" i="2"/>
  <c r="C153" i="2"/>
  <c r="F155" i="2"/>
  <c r="F158" i="2"/>
  <c r="C161" i="2"/>
  <c r="D164" i="2"/>
  <c r="D167" i="2"/>
  <c r="G169" i="2"/>
  <c r="F172" i="2"/>
  <c r="D175" i="2"/>
  <c r="B178" i="2"/>
  <c r="D181" i="2"/>
  <c r="E183" i="2"/>
  <c r="G186" i="2"/>
  <c r="D189" i="2"/>
  <c r="B192" i="2"/>
  <c r="B195" i="2"/>
  <c r="E197" i="2"/>
  <c r="E200" i="2"/>
  <c r="B203" i="2"/>
  <c r="C206" i="2"/>
  <c r="B209" i="2"/>
  <c r="G211" i="2"/>
  <c r="B215" i="2"/>
  <c r="B218" i="2"/>
  <c r="D221" i="2"/>
  <c r="A225" i="2"/>
  <c r="E227" i="2"/>
  <c r="E231" i="2"/>
  <c r="A236" i="2"/>
  <c r="A240" i="2"/>
  <c r="A245" i="2"/>
  <c r="F248" i="2"/>
  <c r="E253" i="2"/>
  <c r="D257" i="2"/>
  <c r="B262" i="2"/>
  <c r="A267" i="2"/>
  <c r="C271" i="2"/>
  <c r="H276" i="2"/>
  <c r="C281" i="2"/>
  <c r="A287" i="2"/>
  <c r="C293" i="2"/>
  <c r="A300" i="2"/>
  <c r="D54" i="2"/>
  <c r="G55" i="2"/>
  <c r="E57" i="2"/>
  <c r="A59" i="2"/>
  <c r="F60" i="2"/>
  <c r="D62" i="2"/>
  <c r="G63" i="2"/>
  <c r="G65" i="2"/>
  <c r="F67" i="2"/>
  <c r="G69" i="2"/>
  <c r="A72" i="2"/>
  <c r="H73" i="2"/>
  <c r="B76" i="2"/>
  <c r="B78" i="2"/>
  <c r="E80" i="2"/>
  <c r="G82" i="2"/>
  <c r="F84" i="2"/>
  <c r="A87" i="2"/>
  <c r="C89" i="2"/>
  <c r="F91" i="2"/>
  <c r="E94" i="2"/>
  <c r="D96" i="2"/>
  <c r="C99" i="2"/>
  <c r="E101" i="2"/>
  <c r="A104" i="2"/>
  <c r="E106" i="2"/>
  <c r="F108" i="2"/>
  <c r="F111" i="2"/>
  <c r="C114" i="2"/>
  <c r="D117" i="2"/>
  <c r="C120" i="2"/>
  <c r="G122" i="2"/>
  <c r="F125" i="2"/>
  <c r="C128" i="2"/>
  <c r="B131" i="2"/>
  <c r="D134" i="2"/>
  <c r="E136" i="2"/>
  <c r="F139" i="2"/>
  <c r="D142" i="2"/>
  <c r="B145" i="2"/>
  <c r="B148" i="2"/>
  <c r="E150" i="2"/>
  <c r="D153" i="2"/>
  <c r="B156" i="2"/>
  <c r="B159" i="2"/>
  <c r="B162" i="2"/>
  <c r="E164" i="2"/>
  <c r="E167" i="2"/>
  <c r="B170" i="2"/>
  <c r="G172" i="2"/>
  <c r="B176" i="2"/>
  <c r="C178" i="2"/>
  <c r="E181" i="2"/>
  <c r="B184" i="2"/>
  <c r="H186" i="2"/>
  <c r="G189" i="2"/>
  <c r="C192" i="2"/>
  <c r="C195" i="2"/>
  <c r="G197" i="2"/>
  <c r="H200" i="2"/>
  <c r="H203" i="2"/>
  <c r="D206" i="2"/>
  <c r="C209" i="2"/>
  <c r="B212" i="2"/>
  <c r="D215" i="2"/>
  <c r="A219" i="2"/>
  <c r="F221" i="2"/>
  <c r="D225" i="2"/>
  <c r="B228" i="2"/>
  <c r="H231" i="2"/>
  <c r="F236" i="2"/>
  <c r="B240" i="2"/>
  <c r="D245" i="2"/>
  <c r="G249" i="2"/>
  <c r="F253" i="2"/>
  <c r="G258" i="2"/>
  <c r="D262" i="2"/>
  <c r="C267" i="2"/>
  <c r="G271" i="2"/>
  <c r="A277" i="2"/>
  <c r="G282" i="2"/>
  <c r="C287" i="2"/>
  <c r="H293" i="2"/>
  <c r="F300" i="2"/>
  <c r="B13" i="4"/>
  <c r="D14" i="4"/>
  <c r="G125" i="2"/>
  <c r="E225" i="2"/>
  <c r="E245" i="2"/>
  <c r="D250" i="2"/>
  <c r="G253" i="2"/>
  <c r="H258" i="2"/>
  <c r="E263" i="2"/>
  <c r="D273" i="2"/>
  <c r="C277" i="2"/>
  <c r="H282" i="2"/>
  <c r="E287" i="2"/>
  <c r="E295" i="2"/>
  <c r="H300" i="2"/>
  <c r="D4" i="2"/>
  <c r="A31" i="2"/>
  <c r="E134" i="2"/>
  <c r="G1" i="2"/>
  <c r="B3" i="2"/>
  <c r="E4" i="2"/>
  <c r="G5" i="2"/>
  <c r="B7" i="2"/>
  <c r="E8" i="2"/>
  <c r="G9" i="2"/>
  <c r="B11" i="2"/>
  <c r="E12" i="2"/>
  <c r="G13" i="2"/>
  <c r="B15" i="2"/>
  <c r="E16" i="2"/>
  <c r="G17" i="2"/>
  <c r="B19" i="2"/>
  <c r="E20" i="2"/>
  <c r="G21" i="2"/>
  <c r="B23" i="2"/>
  <c r="E24" i="2"/>
  <c r="G25" i="2"/>
  <c r="B27" i="2"/>
  <c r="E28" i="2"/>
  <c r="G29" i="2"/>
  <c r="B31" i="2"/>
  <c r="E32" i="2"/>
  <c r="G33" i="2"/>
  <c r="E35" i="2"/>
  <c r="A37" i="2"/>
  <c r="F38" i="2"/>
  <c r="D40" i="2"/>
  <c r="G41" i="2"/>
  <c r="E43" i="2"/>
  <c r="A45" i="2"/>
  <c r="F46" i="2"/>
  <c r="D48" i="2"/>
  <c r="G49" i="2"/>
  <c r="E51" i="2"/>
  <c r="A53" i="2"/>
  <c r="F54" i="2"/>
  <c r="D56" i="2"/>
  <c r="G57" i="2"/>
  <c r="E59" i="2"/>
  <c r="A61" i="2"/>
  <c r="F62" i="2"/>
  <c r="E64" i="2"/>
  <c r="A66" i="2"/>
  <c r="B68" i="2"/>
  <c r="B70" i="2"/>
  <c r="E72" i="2"/>
  <c r="G74" i="2"/>
  <c r="F76" i="2"/>
  <c r="H78" i="2"/>
  <c r="H80" i="2"/>
  <c r="A83" i="2"/>
  <c r="E85" i="2"/>
  <c r="C87" i="2"/>
  <c r="B90" i="2"/>
  <c r="D92" i="2"/>
  <c r="G94" i="2"/>
  <c r="D97" i="2"/>
  <c r="E99" i="2"/>
  <c r="B102" i="2"/>
  <c r="D104" i="2"/>
  <c r="B107" i="2"/>
  <c r="G109" i="2"/>
  <c r="C112" i="2"/>
  <c r="C115" i="2"/>
  <c r="G117" i="2"/>
  <c r="F120" i="2"/>
  <c r="H123" i="2"/>
  <c r="H125" i="2"/>
  <c r="C129" i="2"/>
  <c r="H131" i="2"/>
  <c r="F134" i="2"/>
  <c r="F137" i="2"/>
  <c r="B140" i="2"/>
  <c r="H142" i="2"/>
  <c r="F145" i="2"/>
  <c r="F148" i="2"/>
  <c r="F151" i="2"/>
  <c r="B154" i="2"/>
  <c r="B157" i="2"/>
  <c r="F159" i="2"/>
  <c r="D162" i="2"/>
  <c r="F165" i="2"/>
  <c r="G167" i="2"/>
  <c r="B171" i="2"/>
  <c r="F173" i="2"/>
  <c r="E176" i="2"/>
  <c r="D179" i="2"/>
  <c r="G181" i="2"/>
  <c r="G184" i="2"/>
  <c r="D187" i="2"/>
  <c r="E190" i="2"/>
  <c r="D193" i="2"/>
  <c r="H195" i="2"/>
  <c r="G198" i="2"/>
  <c r="D201" i="2"/>
  <c r="C204" i="2"/>
  <c r="E207" i="2"/>
  <c r="F209" i="2"/>
  <c r="B213" i="2"/>
  <c r="D216" i="2"/>
  <c r="E219" i="2"/>
  <c r="H222" i="2"/>
  <c r="F225" i="2"/>
  <c r="F229" i="2"/>
  <c r="H232" i="2"/>
  <c r="G237" i="2"/>
  <c r="H241" i="2"/>
  <c r="D246" i="2"/>
  <c r="E250" i="2"/>
  <c r="H254" i="2"/>
  <c r="A259" i="2"/>
  <c r="H263" i="2"/>
  <c r="H267" i="2"/>
  <c r="F273" i="2"/>
  <c r="F278" i="2"/>
  <c r="B283" i="2"/>
  <c r="C289" i="2"/>
  <c r="B296" i="2"/>
  <c r="A3" i="2"/>
  <c r="A7" i="2"/>
  <c r="F9" i="2"/>
  <c r="D12" i="2"/>
  <c r="A15" i="2"/>
  <c r="F17" i="2"/>
  <c r="D20" i="2"/>
  <c r="A23" i="2"/>
  <c r="F25" i="2"/>
  <c r="D28" i="2"/>
  <c r="D32" i="2"/>
  <c r="A40" i="2"/>
  <c r="G60" i="2"/>
  <c r="G91" i="2"/>
  <c r="B204" i="2"/>
  <c r="A2" i="2"/>
  <c r="D3" i="2"/>
  <c r="F4" i="2"/>
  <c r="A6" i="2"/>
  <c r="D7" i="2"/>
  <c r="F8" i="2"/>
  <c r="A10" i="2"/>
  <c r="D11" i="2"/>
  <c r="F12" i="2"/>
  <c r="A14" i="2"/>
  <c r="D15" i="2"/>
  <c r="F16" i="2"/>
  <c r="A18" i="2"/>
  <c r="D19" i="2"/>
  <c r="F20" i="2"/>
  <c r="A22" i="2"/>
  <c r="D23" i="2"/>
  <c r="F24" i="2"/>
  <c r="A26" i="2"/>
  <c r="D27" i="2"/>
  <c r="F28" i="2"/>
  <c r="A30" i="2"/>
  <c r="D31" i="2"/>
  <c r="F32" i="2"/>
  <c r="A34" i="2"/>
  <c r="F35" i="2"/>
  <c r="D37" i="2"/>
  <c r="G38" i="2"/>
  <c r="E40" i="2"/>
  <c r="A42" i="2"/>
  <c r="F43" i="2"/>
  <c r="D45" i="2"/>
  <c r="G46" i="2"/>
  <c r="E48" i="2"/>
  <c r="A50" i="2"/>
  <c r="F51" i="2"/>
  <c r="D53" i="2"/>
  <c r="G54" i="2"/>
  <c r="E56" i="2"/>
  <c r="A58" i="2"/>
  <c r="F59" i="2"/>
  <c r="D61" i="2"/>
  <c r="G62" i="2"/>
  <c r="F64" i="2"/>
  <c r="C66" i="2"/>
  <c r="E68" i="2"/>
  <c r="G70" i="2"/>
  <c r="F72" i="2"/>
  <c r="H74" i="2"/>
  <c r="H76" i="2"/>
  <c r="A79" i="2"/>
  <c r="E81" i="2"/>
  <c r="B83" i="2"/>
  <c r="F85" i="2"/>
  <c r="G87" i="2"/>
  <c r="C90" i="2"/>
  <c r="G92" i="2"/>
  <c r="A95" i="2"/>
  <c r="E97" i="2"/>
  <c r="G99" i="2"/>
  <c r="E102" i="2"/>
  <c r="B105" i="2"/>
  <c r="C107" i="2"/>
  <c r="H109" i="2"/>
  <c r="F112" i="2"/>
  <c r="D115" i="2"/>
  <c r="F118" i="2"/>
  <c r="G120" i="2"/>
  <c r="B124" i="2"/>
  <c r="F126" i="2"/>
  <c r="D129" i="2"/>
  <c r="D132" i="2"/>
  <c r="G134" i="2"/>
  <c r="G137" i="2"/>
  <c r="D140" i="2"/>
  <c r="E143" i="2"/>
  <c r="D146" i="2"/>
  <c r="G148" i="2"/>
  <c r="G151" i="2"/>
  <c r="D154" i="2"/>
  <c r="C157" i="2"/>
  <c r="E160" i="2"/>
  <c r="E162" i="2"/>
  <c r="G165" i="2"/>
  <c r="E168" i="2"/>
  <c r="C171" i="2"/>
  <c r="C174" i="2"/>
  <c r="F176" i="2"/>
  <c r="E179" i="2"/>
  <c r="C182" i="2"/>
  <c r="C185" i="2"/>
  <c r="C188" i="2"/>
  <c r="F190" i="2"/>
  <c r="F193" i="2"/>
  <c r="C196" i="2"/>
  <c r="H198" i="2"/>
  <c r="C202" i="2"/>
  <c r="D204" i="2"/>
  <c r="F207" i="2"/>
  <c r="D210" i="2"/>
  <c r="F213" i="2"/>
  <c r="G216" i="2"/>
  <c r="F219" i="2"/>
  <c r="A223" i="2"/>
  <c r="H225" i="2"/>
  <c r="G229" i="2"/>
  <c r="B234" i="2"/>
  <c r="H237" i="2"/>
  <c r="H242" i="2"/>
  <c r="G246" i="2"/>
  <c r="E251" i="2"/>
  <c r="G255" i="2"/>
  <c r="H259" i="2"/>
  <c r="A264" i="2"/>
  <c r="A269" i="2"/>
  <c r="G273" i="2"/>
  <c r="C279" i="2"/>
  <c r="C283" i="2"/>
  <c r="E289" i="2"/>
  <c r="E296" i="2"/>
  <c r="F1" i="2"/>
  <c r="F5" i="2"/>
  <c r="D8" i="2"/>
  <c r="A11" i="2"/>
  <c r="F13" i="2"/>
  <c r="D16" i="2"/>
  <c r="A19" i="2"/>
  <c r="F21" i="2"/>
  <c r="D24" i="2"/>
  <c r="A27" i="2"/>
  <c r="F29" i="2"/>
  <c r="F33" i="2"/>
  <c r="D35" i="2"/>
  <c r="G36" i="2"/>
  <c r="E38" i="2"/>
  <c r="F41" i="2"/>
  <c r="D43" i="2"/>
  <c r="G44" i="2"/>
  <c r="E46" i="2"/>
  <c r="A48" i="2"/>
  <c r="F49" i="2"/>
  <c r="D51" i="2"/>
  <c r="G52" i="2"/>
  <c r="E54" i="2"/>
  <c r="A56" i="2"/>
  <c r="F57" i="2"/>
  <c r="D59" i="2"/>
  <c r="E62" i="2"/>
  <c r="A64" i="2"/>
  <c r="H65" i="2"/>
  <c r="A68" i="2"/>
  <c r="H69" i="2"/>
  <c r="B72" i="2"/>
  <c r="B74" i="2"/>
  <c r="E76" i="2"/>
  <c r="G78" i="2"/>
  <c r="F80" i="2"/>
  <c r="H82" i="2"/>
  <c r="H84" i="2"/>
  <c r="B87" i="2"/>
  <c r="A90" i="2"/>
  <c r="F94" i="2"/>
  <c r="A97" i="2"/>
  <c r="D99" i="2"/>
  <c r="A102" i="2"/>
  <c r="B104" i="2"/>
  <c r="F106" i="2"/>
  <c r="B109" i="2"/>
  <c r="B112" i="2"/>
  <c r="B115" i="2"/>
  <c r="E117" i="2"/>
  <c r="E120" i="2"/>
  <c r="B123" i="2"/>
  <c r="B129" i="2"/>
  <c r="C131" i="2"/>
  <c r="B137" i="2"/>
  <c r="H139" i="2"/>
  <c r="G142" i="2"/>
  <c r="C145" i="2"/>
  <c r="C148" i="2"/>
  <c r="G150" i="2"/>
  <c r="H153" i="2"/>
  <c r="G156" i="2"/>
  <c r="D159" i="2"/>
  <c r="C162" i="2"/>
  <c r="G164" i="2"/>
  <c r="F167" i="2"/>
  <c r="H170" i="2"/>
  <c r="B173" i="2"/>
  <c r="C176" i="2"/>
  <c r="H178" i="2"/>
  <c r="F181" i="2"/>
  <c r="F184" i="2"/>
  <c r="B187" i="2"/>
  <c r="H189" i="2"/>
  <c r="F192" i="2"/>
  <c r="F195" i="2"/>
  <c r="F198" i="2"/>
  <c r="B201" i="2"/>
  <c r="F206" i="2"/>
  <c r="D209" i="2"/>
  <c r="A213" i="2"/>
  <c r="E215" i="2"/>
  <c r="D219" i="2"/>
  <c r="B222" i="2"/>
  <c r="G228" i="2"/>
  <c r="F232" i="2"/>
  <c r="G236" i="2"/>
  <c r="D241" i="2"/>
  <c r="F267" i="2"/>
  <c r="B2" i="2"/>
  <c r="E3" i="2"/>
  <c r="G4" i="2"/>
  <c r="B6" i="2"/>
  <c r="E7" i="2"/>
  <c r="G8" i="2"/>
  <c r="B10" i="2"/>
  <c r="E11" i="2"/>
  <c r="G12" i="2"/>
  <c r="B14" i="2"/>
  <c r="E15" i="2"/>
  <c r="G16" i="2"/>
  <c r="B18" i="2"/>
  <c r="E19" i="2"/>
  <c r="G20" i="2"/>
  <c r="B22" i="2"/>
  <c r="E23" i="2"/>
  <c r="G24" i="2"/>
  <c r="B26" i="2"/>
  <c r="E27" i="2"/>
  <c r="G28" i="2"/>
  <c r="B30" i="2"/>
  <c r="E31" i="2"/>
  <c r="G32" i="2"/>
  <c r="D34" i="2"/>
  <c r="G35" i="2"/>
  <c r="E37" i="2"/>
  <c r="A39" i="2"/>
  <c r="F40" i="2"/>
  <c r="D42" i="2"/>
  <c r="G43" i="2"/>
  <c r="E45" i="2"/>
  <c r="A47" i="2"/>
  <c r="F48" i="2"/>
  <c r="D50" i="2"/>
  <c r="G51" i="2"/>
  <c r="E53" i="2"/>
  <c r="A55" i="2"/>
  <c r="F56" i="2"/>
  <c r="D58" i="2"/>
  <c r="G59" i="2"/>
  <c r="E61" i="2"/>
  <c r="A63" i="2"/>
  <c r="G64" i="2"/>
  <c r="G66" i="2"/>
  <c r="F68" i="2"/>
  <c r="H70" i="2"/>
  <c r="H72" i="2"/>
  <c r="A75" i="2"/>
  <c r="E77" i="2"/>
  <c r="B79" i="2"/>
  <c r="F81" i="2"/>
  <c r="F83" i="2"/>
  <c r="G85" i="2"/>
  <c r="C88" i="2"/>
  <c r="D90" i="2"/>
  <c r="A93" i="2"/>
  <c r="C95" i="2"/>
  <c r="A98" i="2"/>
  <c r="E100" i="2"/>
  <c r="F102" i="2"/>
  <c r="C105" i="2"/>
  <c r="E107" i="2"/>
  <c r="C110" i="2"/>
  <c r="D113" i="2"/>
  <c r="E115" i="2"/>
  <c r="G118" i="2"/>
  <c r="D121" i="2"/>
  <c r="C124" i="2"/>
  <c r="B127" i="2"/>
  <c r="F129" i="2"/>
  <c r="E132" i="2"/>
  <c r="B135" i="2"/>
  <c r="C138" i="2"/>
  <c r="C141" i="2"/>
  <c r="F143" i="2"/>
  <c r="E146" i="2"/>
  <c r="C149" i="2"/>
  <c r="H151" i="2"/>
  <c r="C155" i="2"/>
  <c r="D157" i="2"/>
  <c r="F160" i="2"/>
  <c r="C163" i="2"/>
  <c r="H165" i="2"/>
  <c r="H168" i="2"/>
  <c r="D171" i="2"/>
  <c r="D174" i="2"/>
  <c r="H176" i="2"/>
  <c r="B180" i="2"/>
  <c r="H182" i="2"/>
  <c r="D185" i="2"/>
  <c r="D188" i="2"/>
  <c r="H190" i="2"/>
  <c r="G193" i="2"/>
  <c r="B197" i="2"/>
  <c r="B199" i="2"/>
  <c r="D202" i="2"/>
  <c r="B205" i="2"/>
  <c r="G207" i="2"/>
  <c r="H210" i="2"/>
  <c r="G213" i="2"/>
  <c r="A217" i="2"/>
  <c r="A220" i="2"/>
  <c r="E223" i="2"/>
  <c r="H226" i="2"/>
  <c r="H229" i="2"/>
  <c r="E234" i="2"/>
  <c r="E238" i="2"/>
  <c r="A243" i="2"/>
  <c r="H247" i="2"/>
  <c r="F251" i="2"/>
  <c r="E256" i="2"/>
  <c r="D260" i="2"/>
  <c r="A265" i="2"/>
  <c r="H269" i="2"/>
  <c r="H274" i="2"/>
  <c r="D279" i="2"/>
  <c r="D284" i="2"/>
  <c r="H289" i="2"/>
  <c r="F297" i="2"/>
  <c r="AR7" i="2"/>
  <c r="F5" i="13"/>
  <c r="F11" i="13" s="1"/>
  <c r="C19" i="3" s="1"/>
  <c r="AI9" i="2"/>
  <c r="J4" i="13"/>
  <c r="AL14" i="2"/>
  <c r="B19" i="4"/>
  <c r="D19" i="4" s="1"/>
  <c r="D26" i="4" s="1"/>
  <c r="D18" i="4"/>
  <c r="B3" i="15"/>
  <c r="AO10" i="2"/>
  <c r="C28" i="4"/>
  <c r="C26" i="4"/>
  <c r="C24" i="4"/>
  <c r="B4" i="13"/>
  <c r="AF14" i="2"/>
  <c r="C22" i="4"/>
  <c r="D9" i="3"/>
  <c r="Z4" i="6"/>
  <c r="Z5" i="6"/>
  <c r="F85" i="7"/>
  <c r="N85" i="7"/>
  <c r="V85" i="7"/>
  <c r="D87" i="7"/>
  <c r="L87" i="7"/>
  <c r="T87" i="7"/>
  <c r="CE4" i="8"/>
  <c r="G85" i="7"/>
  <c r="O85" i="7"/>
  <c r="W85" i="7"/>
  <c r="E87" i="7"/>
  <c r="M87" i="7"/>
  <c r="U87" i="7"/>
  <c r="CF4" i="8"/>
  <c r="B23" i="6"/>
  <c r="H85" i="7"/>
  <c r="P85" i="7"/>
  <c r="X85" i="7"/>
  <c r="Z4" i="7"/>
  <c r="I85" i="7"/>
  <c r="Q85" i="7"/>
  <c r="Y85" i="7"/>
  <c r="CE16" i="8"/>
  <c r="B85" i="7"/>
  <c r="J85" i="7"/>
  <c r="R85" i="7"/>
  <c r="Z30" i="7"/>
  <c r="C85" i="7"/>
  <c r="K85" i="7"/>
  <c r="S85" i="7"/>
  <c r="C37" i="14"/>
  <c r="C11" i="14"/>
  <c r="C10" i="14"/>
  <c r="C18" i="14"/>
  <c r="C26" i="14"/>
  <c r="C34" i="14"/>
  <c r="C7" i="14"/>
  <c r="C19" i="14"/>
  <c r="C27" i="14"/>
  <c r="C35" i="14"/>
  <c r="C12" i="14"/>
  <c r="C20" i="14"/>
  <c r="C28" i="14"/>
  <c r="C36" i="14"/>
  <c r="CE4" i="10"/>
  <c r="CE4" i="12"/>
  <c r="I4" i="14"/>
  <c r="B23" i="9"/>
  <c r="F9" i="14"/>
  <c r="C22" i="3" s="1"/>
  <c r="CE4" i="11"/>
  <c r="C4" i="14"/>
  <c r="C16" i="14" l="1"/>
  <c r="C24" i="14"/>
  <c r="C31" i="14"/>
  <c r="C29" i="14"/>
  <c r="C25" i="14"/>
  <c r="C22" i="14"/>
  <c r="C21" i="14"/>
  <c r="C17" i="14"/>
  <c r="C14" i="14"/>
  <c r="C13" i="14"/>
  <c r="C8" i="14"/>
  <c r="C33" i="14"/>
  <c r="C5" i="14"/>
  <c r="C6" i="14"/>
  <c r="B26" i="4"/>
  <c r="C23" i="14"/>
  <c r="C9" i="14"/>
  <c r="C15" i="14"/>
  <c r="C21" i="3"/>
  <c r="A2" i="3"/>
  <c r="D2" i="3" s="1"/>
  <c r="Z86" i="7"/>
  <c r="CG19" i="8"/>
  <c r="CH19" i="8" s="1"/>
  <c r="CG16" i="8"/>
  <c r="CH16" i="8" s="1"/>
  <c r="CG6" i="8"/>
  <c r="CH6" i="8" s="1"/>
  <c r="CG9" i="8"/>
  <c r="CH9" i="8" s="1"/>
  <c r="CG22" i="8"/>
  <c r="CH22" i="8" s="1"/>
  <c r="CE12" i="12"/>
  <c r="C28" i="3" s="1"/>
  <c r="CG20" i="8"/>
  <c r="CH20" i="8" s="1"/>
  <c r="CG5" i="8"/>
  <c r="CH5" i="8" s="1"/>
  <c r="CG13" i="8"/>
  <c r="CH13" i="8" s="1"/>
  <c r="CG14" i="8"/>
  <c r="CH14" i="8" s="1"/>
  <c r="CG8" i="8"/>
  <c r="CH8" i="8" s="1"/>
  <c r="CE9" i="10"/>
  <c r="C27" i="3" s="1"/>
  <c r="CE13" i="11"/>
  <c r="C26" i="3" s="1"/>
  <c r="CG21" i="8"/>
  <c r="CH21" i="8" s="1"/>
  <c r="CG17" i="8"/>
  <c r="CH17" i="8" s="1"/>
  <c r="CF23" i="8"/>
  <c r="AI23" i="9"/>
  <c r="G9" i="13"/>
  <c r="CG11" i="8"/>
  <c r="CH11" i="8" s="1"/>
  <c r="CG15" i="8"/>
  <c r="CH15" i="8" s="1"/>
  <c r="G7" i="14"/>
  <c r="O3" i="2"/>
  <c r="CG10" i="8"/>
  <c r="CH10" i="8" s="1"/>
  <c r="S48" i="2"/>
  <c r="O2" i="2"/>
  <c r="S34" i="2"/>
  <c r="CG12" i="8"/>
  <c r="CH12" i="8" s="1"/>
  <c r="CG18" i="8"/>
  <c r="CH18" i="8" s="1"/>
  <c r="CG7" i="8"/>
  <c r="CH7" i="8" s="1"/>
  <c r="G4" i="14"/>
  <c r="G4" i="13"/>
  <c r="G7" i="13"/>
  <c r="G5" i="13"/>
  <c r="O7" i="2"/>
  <c r="O18" i="2"/>
  <c r="O23" i="2"/>
  <c r="S3" i="2"/>
  <c r="Q20" i="2"/>
  <c r="S43" i="2"/>
  <c r="S42" i="2"/>
  <c r="S27" i="2"/>
  <c r="S40" i="2"/>
  <c r="S13" i="2"/>
  <c r="S19" i="2"/>
  <c r="Q27" i="2"/>
  <c r="Q17" i="2"/>
  <c r="O14" i="2"/>
  <c r="O9" i="2"/>
  <c r="O25" i="2"/>
  <c r="S4" i="2"/>
  <c r="Q10" i="2"/>
  <c r="S25" i="2"/>
  <c r="M3" i="2"/>
  <c r="S50" i="2"/>
  <c r="S44" i="2"/>
  <c r="Q19" i="2"/>
  <c r="S45" i="2"/>
  <c r="S35" i="2"/>
  <c r="Q22" i="2"/>
  <c r="I9" i="14"/>
  <c r="O20" i="2"/>
  <c r="O13" i="2"/>
  <c r="O10" i="2"/>
  <c r="S15" i="2"/>
  <c r="S12" i="2"/>
  <c r="S46" i="2"/>
  <c r="S32" i="2"/>
  <c r="Q8" i="2"/>
  <c r="S52" i="2"/>
  <c r="S21" i="2"/>
  <c r="S54" i="2"/>
  <c r="S38" i="2"/>
  <c r="Q24" i="2"/>
  <c r="G5" i="14"/>
  <c r="O22" i="2"/>
  <c r="O21" i="2"/>
  <c r="O12" i="2"/>
  <c r="S47" i="2"/>
  <c r="S20" i="2"/>
  <c r="S39" i="2"/>
  <c r="Q6" i="2"/>
  <c r="S10" i="2"/>
  <c r="S5" i="2"/>
  <c r="S26" i="2"/>
  <c r="Q5" i="2"/>
  <c r="S56" i="2"/>
  <c r="Q26" i="2"/>
  <c r="AL4" i="9"/>
  <c r="AK23" i="9"/>
  <c r="B11" i="15"/>
  <c r="C3" i="15" s="1"/>
  <c r="J16" i="13"/>
  <c r="K4" i="13" s="1"/>
  <c r="O60" i="2"/>
  <c r="O54" i="2"/>
  <c r="O51" i="2"/>
  <c r="O52" i="2"/>
  <c r="O49" i="2"/>
  <c r="O40" i="2"/>
  <c r="O29" i="2"/>
  <c r="O53" i="2"/>
  <c r="O50" i="2"/>
  <c r="O44" i="2"/>
  <c r="O41" i="2"/>
  <c r="O30" i="2"/>
  <c r="O58" i="2"/>
  <c r="O38" i="2"/>
  <c r="O34" i="2"/>
  <c r="O45" i="2"/>
  <c r="O37" i="2"/>
  <c r="O57" i="2"/>
  <c r="O48" i="2"/>
  <c r="O33" i="2"/>
  <c r="O59" i="2"/>
  <c r="O46" i="2"/>
  <c r="O42" i="2"/>
  <c r="O31" i="2"/>
  <c r="O55" i="2"/>
  <c r="O43" i="2"/>
  <c r="O32" i="2"/>
  <c r="O56" i="2"/>
  <c r="O36" i="2"/>
  <c r="O35" i="2"/>
  <c r="O61" i="2"/>
  <c r="O47" i="2"/>
  <c r="O39" i="2"/>
  <c r="M9" i="2"/>
  <c r="O16" i="2"/>
  <c r="O15" i="2"/>
  <c r="O19" i="2"/>
  <c r="S36" i="2"/>
  <c r="Q4" i="2"/>
  <c r="S22" i="2"/>
  <c r="Q12" i="2"/>
  <c r="S16" i="2"/>
  <c r="S8" i="2"/>
  <c r="S30" i="2"/>
  <c r="Q7" i="2"/>
  <c r="S6" i="2"/>
  <c r="G6" i="14"/>
  <c r="Z87" i="7"/>
  <c r="C16" i="3" s="1"/>
  <c r="Z85" i="7"/>
  <c r="CE23" i="8"/>
  <c r="CG4" i="8"/>
  <c r="G10" i="13"/>
  <c r="G6" i="13"/>
  <c r="V124" i="2"/>
  <c r="C124" i="5" s="1"/>
  <c r="V114" i="2"/>
  <c r="C114" i="5" s="1"/>
  <c r="V105" i="2"/>
  <c r="C105" i="5" s="1"/>
  <c r="V95" i="2"/>
  <c r="C95" i="5" s="1"/>
  <c r="V86" i="2"/>
  <c r="V76" i="2"/>
  <c r="C76" i="5" s="1"/>
  <c r="V66" i="2"/>
  <c r="C66" i="5" s="1"/>
  <c r="V56" i="2"/>
  <c r="C56" i="5" s="1"/>
  <c r="V129" i="2"/>
  <c r="C129" i="5" s="1"/>
  <c r="V119" i="2"/>
  <c r="C119" i="5" s="1"/>
  <c r="V109" i="2"/>
  <c r="C109" i="5" s="1"/>
  <c r="V98" i="2"/>
  <c r="C98" i="5" s="1"/>
  <c r="V87" i="2"/>
  <c r="C87" i="5" s="1"/>
  <c r="V75" i="2"/>
  <c r="C75" i="5" s="1"/>
  <c r="V64" i="2"/>
  <c r="C64" i="5" s="1"/>
  <c r="V58" i="2"/>
  <c r="C58" i="5" s="1"/>
  <c r="V45" i="2"/>
  <c r="C45" i="5" s="1"/>
  <c r="V42" i="2"/>
  <c r="C42" i="5" s="1"/>
  <c r="V31" i="2"/>
  <c r="C31" i="5" s="1"/>
  <c r="V20" i="2"/>
  <c r="C20" i="5" s="1"/>
  <c r="V15" i="2"/>
  <c r="C15" i="5" s="1"/>
  <c r="V8" i="2"/>
  <c r="C8" i="5" s="1"/>
  <c r="V123" i="2"/>
  <c r="C123" i="5" s="1"/>
  <c r="V112" i="2"/>
  <c r="C112" i="5" s="1"/>
  <c r="V102" i="2"/>
  <c r="V90" i="2"/>
  <c r="C90" i="5" s="1"/>
  <c r="V79" i="2"/>
  <c r="C79" i="5" s="1"/>
  <c r="V69" i="2"/>
  <c r="C69" i="5" s="1"/>
  <c r="V60" i="2"/>
  <c r="C60" i="5" s="1"/>
  <c r="V46" i="2"/>
  <c r="C46" i="5" s="1"/>
  <c r="V32" i="2"/>
  <c r="C32" i="5" s="1"/>
  <c r="V19" i="2"/>
  <c r="V12" i="2"/>
  <c r="C12" i="5" s="1"/>
  <c r="V126" i="2"/>
  <c r="C126" i="5" s="1"/>
  <c r="V111" i="2"/>
  <c r="C111" i="5" s="1"/>
  <c r="V97" i="2"/>
  <c r="V82" i="2"/>
  <c r="C82" i="5" s="1"/>
  <c r="V68" i="2"/>
  <c r="V49" i="2"/>
  <c r="C49" i="5" s="1"/>
  <c r="V41" i="2"/>
  <c r="C41" i="5" s="1"/>
  <c r="V30" i="2"/>
  <c r="C30" i="5" s="1"/>
  <c r="V26" i="2"/>
  <c r="C26" i="5" s="1"/>
  <c r="V21" i="2"/>
  <c r="C21" i="5" s="1"/>
  <c r="V13" i="2"/>
  <c r="C13" i="5" s="1"/>
  <c r="V125" i="2"/>
  <c r="C125" i="5" s="1"/>
  <c r="V110" i="2"/>
  <c r="C110" i="5" s="1"/>
  <c r="V94" i="2"/>
  <c r="C94" i="5" s="1"/>
  <c r="V81" i="2"/>
  <c r="V65" i="2"/>
  <c r="C65" i="5" s="1"/>
  <c r="V57" i="2"/>
  <c r="C57" i="5" s="1"/>
  <c r="V37" i="2"/>
  <c r="C37" i="5" s="1"/>
  <c r="V33" i="2"/>
  <c r="C33" i="5" s="1"/>
  <c r="V23" i="2"/>
  <c r="C23" i="5" s="1"/>
  <c r="V122" i="2"/>
  <c r="V108" i="2"/>
  <c r="C108" i="5" s="1"/>
  <c r="V93" i="2"/>
  <c r="C93" i="5" s="1"/>
  <c r="V78" i="2"/>
  <c r="C78" i="5" s="1"/>
  <c r="V63" i="2"/>
  <c r="V52" i="2"/>
  <c r="C52" i="5" s="1"/>
  <c r="V48" i="2"/>
  <c r="V44" i="2"/>
  <c r="V40" i="2"/>
  <c r="C40" i="5" s="1"/>
  <c r="V29" i="2"/>
  <c r="C29" i="5" s="1"/>
  <c r="V16" i="2"/>
  <c r="C16" i="5" s="1"/>
  <c r="V4" i="2"/>
  <c r="C4" i="5" s="1"/>
  <c r="V120" i="2"/>
  <c r="C120" i="5" s="1"/>
  <c r="V107" i="2"/>
  <c r="V92" i="2"/>
  <c r="V77" i="2"/>
  <c r="C77" i="5" s="1"/>
  <c r="V36" i="2"/>
  <c r="V25" i="2"/>
  <c r="C25" i="5" s="1"/>
  <c r="V14" i="2"/>
  <c r="C14" i="5" s="1"/>
  <c r="V11" i="2"/>
  <c r="V7" i="2"/>
  <c r="C7" i="5" s="1"/>
  <c r="V127" i="2"/>
  <c r="C127" i="5" s="1"/>
  <c r="V113" i="2"/>
  <c r="C113" i="5" s="1"/>
  <c r="V99" i="2"/>
  <c r="C99" i="5" s="1"/>
  <c r="V83" i="2"/>
  <c r="C83" i="5" s="1"/>
  <c r="V70" i="2"/>
  <c r="C70" i="5" s="1"/>
  <c r="V54" i="2"/>
  <c r="V38" i="2"/>
  <c r="C38" i="5" s="1"/>
  <c r="V34" i="2"/>
  <c r="C34" i="5" s="1"/>
  <c r="V117" i="2"/>
  <c r="V74" i="2"/>
  <c r="V24" i="2"/>
  <c r="C24" i="5" s="1"/>
  <c r="V6" i="2"/>
  <c r="C6" i="5" s="1"/>
  <c r="V115" i="2"/>
  <c r="C115" i="5" s="1"/>
  <c r="V72" i="2"/>
  <c r="C72" i="5" s="1"/>
  <c r="V51" i="2"/>
  <c r="C51" i="5" s="1"/>
  <c r="V22" i="2"/>
  <c r="C22" i="5" s="1"/>
  <c r="V17" i="2"/>
  <c r="C17" i="5" s="1"/>
  <c r="V9" i="2"/>
  <c r="C9" i="5" s="1"/>
  <c r="V104" i="2"/>
  <c r="C104" i="5" s="1"/>
  <c r="V71" i="2"/>
  <c r="C71" i="5" s="1"/>
  <c r="V39" i="2"/>
  <c r="C39" i="5" s="1"/>
  <c r="V103" i="2"/>
  <c r="C103" i="5" s="1"/>
  <c r="V61" i="2"/>
  <c r="C61" i="5" s="1"/>
  <c r="V50" i="2"/>
  <c r="C50" i="5" s="1"/>
  <c r="V28" i="2"/>
  <c r="V128" i="2"/>
  <c r="C128" i="5" s="1"/>
  <c r="V88" i="2"/>
  <c r="C88" i="5" s="1"/>
  <c r="V118" i="2"/>
  <c r="C118" i="5" s="1"/>
  <c r="V84" i="2"/>
  <c r="C84" i="5" s="1"/>
  <c r="V55" i="2"/>
  <c r="C55" i="5" s="1"/>
  <c r="V100" i="2"/>
  <c r="C100" i="5" s="1"/>
  <c r="V89" i="2"/>
  <c r="C89" i="5" s="1"/>
  <c r="V59" i="2"/>
  <c r="C59" i="5" s="1"/>
  <c r="V3" i="2"/>
  <c r="V5" i="2"/>
  <c r="C5" i="5" s="1"/>
  <c r="O4" i="2"/>
  <c r="O6" i="2"/>
  <c r="O17" i="2"/>
  <c r="M2" i="2"/>
  <c r="Q2" i="2"/>
  <c r="S28" i="2"/>
  <c r="S31" i="2"/>
  <c r="Q15" i="2"/>
  <c r="S18" i="2"/>
  <c r="S9" i="2"/>
  <c r="S41" i="2"/>
  <c r="S11" i="2"/>
  <c r="Q9" i="2"/>
  <c r="S37" i="2"/>
  <c r="E11" i="14"/>
  <c r="G8" i="14"/>
  <c r="O5" i="2"/>
  <c r="O8" i="2"/>
  <c r="O24" i="2"/>
  <c r="S7" i="2"/>
  <c r="Q11" i="2"/>
  <c r="Q18" i="2"/>
  <c r="S51" i="2"/>
  <c r="S17" i="2"/>
  <c r="Q23" i="2"/>
  <c r="S23" i="2"/>
  <c r="S49" i="2"/>
  <c r="Q16" i="2"/>
  <c r="Q13" i="2"/>
  <c r="S55" i="2"/>
  <c r="Z23" i="6"/>
  <c r="B16" i="13"/>
  <c r="G8" i="13"/>
  <c r="B15" i="4"/>
  <c r="D13" i="4"/>
  <c r="M6" i="2"/>
  <c r="O11" i="2"/>
  <c r="Q3" i="2"/>
  <c r="Q14" i="2"/>
  <c r="Q25" i="2"/>
  <c r="S2" i="2"/>
  <c r="S24" i="2"/>
  <c r="S29" i="2"/>
  <c r="S33" i="2"/>
  <c r="S53" i="2"/>
  <c r="Q21" i="2"/>
  <c r="S14" i="2"/>
  <c r="Q28" i="2" l="1"/>
  <c r="O26" i="2"/>
  <c r="Y10" i="2"/>
  <c r="C63" i="5"/>
  <c r="O62" i="2"/>
  <c r="M7" i="2"/>
  <c r="M4" i="2"/>
  <c r="C11" i="5"/>
  <c r="Y3" i="2"/>
  <c r="Y17" i="2"/>
  <c r="C102" i="5"/>
  <c r="D15" i="4"/>
  <c r="B28" i="4"/>
  <c r="B31" i="4"/>
  <c r="B22" i="4"/>
  <c r="B24" i="4"/>
  <c r="Y9" i="2"/>
  <c r="C54" i="5"/>
  <c r="Y13" i="2"/>
  <c r="C81" i="5"/>
  <c r="C19" i="5"/>
  <c r="Y4" i="2"/>
  <c r="C23" i="3"/>
  <c r="C4" i="15"/>
  <c r="C5" i="15"/>
  <c r="C8" i="15"/>
  <c r="C10" i="15"/>
  <c r="C9" i="15"/>
  <c r="C6" i="15"/>
  <c r="C7" i="15"/>
  <c r="S57" i="2"/>
  <c r="C36" i="5"/>
  <c r="Y6" i="2"/>
  <c r="C68" i="5"/>
  <c r="Y11" i="2"/>
  <c r="C16" i="13"/>
  <c r="C18" i="3"/>
  <c r="C8" i="13"/>
  <c r="C14" i="13"/>
  <c r="C9" i="13"/>
  <c r="C11" i="13"/>
  <c r="C12" i="13"/>
  <c r="C6" i="13"/>
  <c r="C13" i="13"/>
  <c r="C10" i="13"/>
  <c r="C7" i="13"/>
  <c r="C5" i="13"/>
  <c r="C15" i="13"/>
  <c r="C122" i="5"/>
  <c r="Y20" i="2"/>
  <c r="CG23" i="8"/>
  <c r="CH23" i="8" s="1"/>
  <c r="CH4" i="8"/>
  <c r="C4" i="13"/>
  <c r="Y7" i="2"/>
  <c r="C44" i="5"/>
  <c r="C86" i="5"/>
  <c r="Y14" i="2"/>
  <c r="Y2" i="2"/>
  <c r="C3" i="5"/>
  <c r="V130" i="2"/>
  <c r="C130" i="5" s="1"/>
  <c r="D130" i="5" s="1"/>
  <c r="C92" i="5"/>
  <c r="Y15" i="2"/>
  <c r="C48" i="5"/>
  <c r="Y8" i="2"/>
  <c r="C97" i="5"/>
  <c r="Y16" i="2"/>
  <c r="C74" i="5"/>
  <c r="Y12" i="2"/>
  <c r="C28" i="5"/>
  <c r="Y5" i="2"/>
  <c r="Y19" i="2"/>
  <c r="C117" i="5"/>
  <c r="C107" i="5"/>
  <c r="Y18" i="2"/>
  <c r="C20" i="3"/>
  <c r="K14" i="13"/>
  <c r="K5" i="13"/>
  <c r="K7" i="13"/>
  <c r="K11" i="13"/>
  <c r="K8" i="13"/>
  <c r="K15" i="13"/>
  <c r="K13" i="13"/>
  <c r="K6" i="13"/>
  <c r="K10" i="13"/>
  <c r="K9" i="13"/>
  <c r="K12" i="13"/>
  <c r="D13" i="3" l="1"/>
  <c r="D98" i="5"/>
  <c r="D70" i="5"/>
  <c r="D55" i="5"/>
  <c r="D30" i="5"/>
  <c r="D92" i="5"/>
  <c r="D6" i="5"/>
  <c r="D119" i="5"/>
  <c r="D28" i="5"/>
  <c r="D87" i="5"/>
  <c r="D49" i="5"/>
  <c r="D52" i="5"/>
  <c r="D95" i="5"/>
  <c r="D29" i="5"/>
  <c r="D15" i="5"/>
  <c r="D83" i="5"/>
  <c r="D75" i="5"/>
  <c r="D42" i="5"/>
  <c r="D76" i="5"/>
  <c r="D94" i="5"/>
  <c r="D63" i="5"/>
  <c r="D128" i="5"/>
  <c r="D38" i="5"/>
  <c r="D111" i="5"/>
  <c r="D97" i="5"/>
  <c r="D77" i="5"/>
  <c r="D58" i="5"/>
  <c r="D14" i="5"/>
  <c r="D100" i="5"/>
  <c r="D120" i="5"/>
  <c r="D74" i="5"/>
  <c r="D60" i="5"/>
  <c r="D127" i="5"/>
  <c r="D69" i="5"/>
  <c r="D79" i="5"/>
  <c r="D8" i="5"/>
  <c r="D16" i="5"/>
  <c r="D123" i="5"/>
  <c r="D21" i="5"/>
  <c r="D17" i="5"/>
  <c r="D108" i="5"/>
  <c r="D99" i="5"/>
  <c r="D122" i="5"/>
  <c r="D118" i="5"/>
  <c r="D112" i="5"/>
  <c r="D45" i="5"/>
  <c r="D20" i="5"/>
  <c r="D113" i="5"/>
  <c r="D71" i="5"/>
  <c r="D31" i="5"/>
  <c r="D9" i="5"/>
  <c r="D44" i="5"/>
  <c r="D93" i="5"/>
  <c r="D117" i="5"/>
  <c r="D56" i="5"/>
  <c r="D37" i="5"/>
  <c r="D25" i="5"/>
  <c r="D48" i="5"/>
  <c r="D86" i="5"/>
  <c r="D24" i="5"/>
  <c r="D40" i="5"/>
  <c r="D32" i="5"/>
  <c r="D102" i="5"/>
  <c r="D51" i="5"/>
  <c r="D114" i="5"/>
  <c r="D7" i="5"/>
  <c r="D39" i="5"/>
  <c r="D54" i="5"/>
  <c r="D65" i="5"/>
  <c r="D90" i="5"/>
  <c r="D34" i="5"/>
  <c r="D28" i="4"/>
  <c r="D31" i="4"/>
  <c r="D22" i="4"/>
  <c r="D24" i="4"/>
  <c r="D59" i="5"/>
  <c r="D115" i="5"/>
  <c r="D13" i="5"/>
  <c r="D3" i="5"/>
  <c r="D125" i="5"/>
  <c r="D88" i="5"/>
  <c r="D110" i="5"/>
  <c r="D66" i="5"/>
  <c r="D41" i="5"/>
  <c r="D72" i="5"/>
  <c r="D124" i="5"/>
  <c r="D4" i="5"/>
  <c r="D26" i="5"/>
  <c r="D50" i="5"/>
  <c r="D82" i="5"/>
  <c r="D104" i="5"/>
  <c r="D46" i="5"/>
  <c r="D68" i="5"/>
  <c r="D19" i="5"/>
  <c r="D78" i="5"/>
  <c r="D12" i="5"/>
  <c r="D126" i="5"/>
  <c r="D22" i="5"/>
  <c r="D105" i="5"/>
  <c r="D109" i="5"/>
  <c r="D107" i="5"/>
  <c r="D84" i="5"/>
  <c r="D33" i="5"/>
  <c r="Y21" i="2"/>
  <c r="D23" i="5"/>
  <c r="D5" i="5"/>
  <c r="D36" i="5"/>
  <c r="D64" i="5"/>
  <c r="D81" i="5"/>
  <c r="D103" i="5"/>
  <c r="D129" i="5"/>
  <c r="D11" i="5"/>
  <c r="D61" i="5"/>
  <c r="D57" i="5"/>
  <c r="D89" i="5"/>
</calcChain>
</file>

<file path=xl/sharedStrings.xml><?xml version="1.0" encoding="utf-8"?>
<sst xmlns="http://schemas.openxmlformats.org/spreadsheetml/2006/main" count="1496" uniqueCount="1023">
  <si>
    <t>Sicil No</t>
  </si>
  <si>
    <t>Adı</t>
  </si>
  <si>
    <t>Soyadı</t>
  </si>
  <si>
    <t>Doğum-tarihi</t>
  </si>
  <si>
    <t>Kaza-tarihi</t>
  </si>
  <si>
    <t>Saat</t>
  </si>
  <si>
    <t>Sanatı</t>
  </si>
  <si>
    <t>Yer</t>
  </si>
  <si>
    <t>Neden</t>
  </si>
  <si>
    <t>Uzuv</t>
  </si>
  <si>
    <t>Gün-Kayıbı</t>
  </si>
  <si>
    <t>Kazanın Kısa Açıklaması</t>
  </si>
  <si>
    <t xml:space="preserve">Y.A.
 İŞÇİ SAYISI </t>
  </si>
  <si>
    <t xml:space="preserve">Y.Ü. 
İŞÇİ SAYISI </t>
  </si>
  <si>
    <t xml:space="preserve">Y.A. 
YEVMİYE SAYISI  </t>
  </si>
  <si>
    <t xml:space="preserve">Y.Ü. 
YEVMİYE SAYISI </t>
  </si>
  <si>
    <t xml:space="preserve">TOPLAM 
YEVMİYE </t>
  </si>
  <si>
    <t>Ocak</t>
  </si>
  <si>
    <t>Şubat</t>
  </si>
  <si>
    <t>Mart</t>
  </si>
  <si>
    <t>3 AYLIK</t>
  </si>
  <si>
    <t>Nisan</t>
  </si>
  <si>
    <t>Mayıs</t>
  </si>
  <si>
    <t>Haziran</t>
  </si>
  <si>
    <t>6 AYLIK</t>
  </si>
  <si>
    <t>Temmuz</t>
  </si>
  <si>
    <t>Ağustos</t>
  </si>
  <si>
    <t>Eylül</t>
  </si>
  <si>
    <t>9 AYLIK</t>
  </si>
  <si>
    <t>Ekim</t>
  </si>
  <si>
    <t>Kasım</t>
  </si>
  <si>
    <t>Aralık</t>
  </si>
  <si>
    <t>KAZA YERİ</t>
  </si>
  <si>
    <t>ADET</t>
  </si>
  <si>
    <t>YERALTI SANATLARI</t>
  </si>
  <si>
    <t>YERÜSTÜ SANATLARI</t>
  </si>
  <si>
    <t>AYRINTILI KAZA NEDENİ</t>
  </si>
  <si>
    <t>AÇIKLAMA / ALT ÖRNEKLER</t>
  </si>
  <si>
    <t>KAZA TÜRÜ</t>
  </si>
  <si>
    <t>SAYI</t>
  </si>
  <si>
    <t>AY</t>
  </si>
  <si>
    <t>GÜN</t>
  </si>
  <si>
    <t>SAAT</t>
  </si>
  <si>
    <t>YAŞ</t>
  </si>
  <si>
    <t>GÜN KAYBI</t>
  </si>
  <si>
    <t>TOP.GÜN</t>
  </si>
  <si>
    <t>ÖLÜ</t>
  </si>
  <si>
    <t>YERALTI</t>
  </si>
  <si>
    <t>YERÜSTÜ</t>
  </si>
  <si>
    <t>Toplam Kazalı:</t>
  </si>
  <si>
    <t>11: Ayak İçi / Pano</t>
  </si>
  <si>
    <t>1: MEKANİZE KAZI OP. / Shearer Op.</t>
  </si>
  <si>
    <t>51: DOZER OP. / Dozerci</t>
  </si>
  <si>
    <t>01 - GÖÇÜK / TAŞ-KÖMÜR DÜŞMESİ /KAYMA (Fall of Ground / Slide)</t>
  </si>
  <si>
    <t>Göçük / Taş-Kömür Düşmesi/Kayma</t>
  </si>
  <si>
    <t>Pazartesi</t>
  </si>
  <si>
    <t>0-2</t>
  </si>
  <si>
    <t>&lt;=20</t>
  </si>
  <si>
    <t>1-3</t>
  </si>
  <si>
    <t>Ölü sayısı</t>
  </si>
  <si>
    <t>Yerüstü Kayıtlılar</t>
  </si>
  <si>
    <t>12: Hazırlık Galerisi / Malz.Baca</t>
  </si>
  <si>
    <t>2: YÜR.TAHKİMAT SÜR. / Şilt Sürücü</t>
  </si>
  <si>
    <t>52: EKSKAVATÖR OP. / Kepçeci</t>
  </si>
  <si>
    <t>0110: Tavandan taş/kömür düşmesi - Bump/Plaka</t>
  </si>
  <si>
    <t>Tavan taşı kopması, taş sekmesi, plaka düşmesi, kavlak düşmesi</t>
  </si>
  <si>
    <t>Malzeme Düşmesi / Sıkışma / Ezilme</t>
  </si>
  <si>
    <t>Salı</t>
  </si>
  <si>
    <t>2-4</t>
  </si>
  <si>
    <t>20-25</t>
  </si>
  <si>
    <t>3-7</t>
  </si>
  <si>
    <t>Yeraltı Kayıtlılar</t>
  </si>
  <si>
    <t>13: Kömür Baca / Kömür Yolu</t>
  </si>
  <si>
    <t>3: Y.A.HAZ.İŞÇİSİ / Hazırlıkçı</t>
  </si>
  <si>
    <t>53: İŞ MAK.OP. / Makine Operatörü</t>
  </si>
  <si>
    <t>0120: Yan duvar/kanat düşmesi - Rib fall</t>
  </si>
  <si>
    <t>Ayna kenarı, galeri yan duvarı çökmesi, rib düşmesi</t>
  </si>
  <si>
    <t>Düşme (Kişi) / Kayma</t>
  </si>
  <si>
    <t>Çarşamba</t>
  </si>
  <si>
    <t>4-6</t>
  </si>
  <si>
    <t>25-30</t>
  </si>
  <si>
    <t>7-15</t>
  </si>
  <si>
    <t>14: Ana İhraç Yolu / Galeri</t>
  </si>
  <si>
    <t>4: Y.A.HAZ.İŞÇ.YEDEK</t>
  </si>
  <si>
    <t>54: GREYDER OP. / Greyderci</t>
  </si>
  <si>
    <t>0130: Ayna göçüğü / Ayna düşmesi</t>
  </si>
  <si>
    <t>Kazı aynasından kopma, ayna çökmesi</t>
  </si>
  <si>
    <t>Çarpma / Vurma / Batma</t>
  </si>
  <si>
    <t>Perşembe</t>
  </si>
  <si>
    <t>6-8</t>
  </si>
  <si>
    <t>30-35</t>
  </si>
  <si>
    <t>15-30</t>
  </si>
  <si>
    <t>Yerüstü Kazası</t>
  </si>
  <si>
    <t>15: Bant Boyu / Konveyör Yolu</t>
  </si>
  <si>
    <t>5: Y.A.HAZ.USTASI / Ekip Başı</t>
  </si>
  <si>
    <t>55: YÜKLEYİCİ OP. / Loderci</t>
  </si>
  <si>
    <t>0160: Topuk/Ayak göçüğü - Longwall</t>
  </si>
  <si>
    <t>Uzunayak topuk göçmesi, pano içi toprak kayması</t>
  </si>
  <si>
    <t>Motorlu Nakliye / Araç Kazası</t>
  </si>
  <si>
    <t>Cuma</t>
  </si>
  <si>
    <t>8-10</t>
  </si>
  <si>
    <t>35-40</t>
  </si>
  <si>
    <t>&gt;30</t>
  </si>
  <si>
    <t>Yeraltı Kazası</t>
  </si>
  <si>
    <t>16: Kuyu / Eğimli Kuyu</t>
  </si>
  <si>
    <t>6: Y.A.MAD.HAZ.ELEM.</t>
  </si>
  <si>
    <t>56: FORKLİFT OP. / Forkliftçi</t>
  </si>
  <si>
    <t>0170: Açık ocak şev kayması / Göçüğü</t>
  </si>
  <si>
    <t>Highwall kayması, basamak göçüğü, şev hareketi</t>
  </si>
  <si>
    <t>Motorsuz Nakliye / El Arabası</t>
  </si>
  <si>
    <t>Cumartesi</t>
  </si>
  <si>
    <t>10-12</t>
  </si>
  <si>
    <t>40-45</t>
  </si>
  <si>
    <t>TOPLAM</t>
  </si>
  <si>
    <t>17: Vinç Altı / Pompa İst.</t>
  </si>
  <si>
    <t>7: BEDEN İŞÇ.(Y.A.) / Amele</t>
  </si>
  <si>
    <t>57: VİNÇ OP. / Vinççi</t>
  </si>
  <si>
    <t>0180: Dolgu/Tavan arası çökmesi</t>
  </si>
  <si>
    <t>Dolgu malzemesi akması, tavan arası göçük</t>
  </si>
  <si>
    <t>Vinç / Kaldırma</t>
  </si>
  <si>
    <t>Pazar</t>
  </si>
  <si>
    <t>12-14</t>
  </si>
  <si>
    <t>45-50</t>
  </si>
  <si>
    <t>Toplam Gün Kaybı</t>
  </si>
  <si>
    <t>18: Tertip Odası / Beke</t>
  </si>
  <si>
    <t>8: DELİKÇİ / Perforatörcü</t>
  </si>
  <si>
    <t>58: KAMYON ŞOF. / Damperci</t>
  </si>
  <si>
    <t>0190: Diğer göçük/düşme olayları</t>
  </si>
  <si>
    <t>Sınıflandırılamayan göçük olayları</t>
  </si>
  <si>
    <t>Makine Kazası / Ekipman</t>
  </si>
  <si>
    <t>14-16</t>
  </si>
  <si>
    <t>&gt;50</t>
  </si>
  <si>
    <t>19: Kavşak / Sapak Noktası</t>
  </si>
  <si>
    <t>9: ATEŞÇİ / Dinamitçi</t>
  </si>
  <si>
    <t>59: KAYA KAM.OP. / Ağır Kamyon</t>
  </si>
  <si>
    <t>02 - MALZEME DÜŞMESİ / SIKIŞMA / EZİLME (Struck By)</t>
  </si>
  <si>
    <t>Elektrik Kazası</t>
  </si>
  <si>
    <t>16-18</t>
  </si>
  <si>
    <t>Toplam gün</t>
  </si>
  <si>
    <t>20: Havalandırma / Kaçamak Yolu</t>
  </si>
  <si>
    <t>10: ZEM.DELGİ MAK.OP. / Boltçu</t>
  </si>
  <si>
    <t>60: ŞOFÖR / Servis Şoförü</t>
  </si>
  <si>
    <t>0210: Malzeme arası sıkışma - El/Parmak</t>
  </si>
  <si>
    <t>Bağ, oluk, kama, boyunduruk arasına el/parmak sıkışması</t>
  </si>
  <si>
    <t>Gaz-Toz Patlaması / Grizu</t>
  </si>
  <si>
    <t>18-20</t>
  </si>
  <si>
    <t>21: Dolgu / Tavan Arası</t>
  </si>
  <si>
    <t>11: TAHKİMATÇI / Bağcı-Direkçi</t>
  </si>
  <si>
    <t>61: TESİS İŞÇ. / Kırıcı Op.</t>
  </si>
  <si>
    <t>0220: Makine/ekipman parçası düşmesi</t>
  </si>
  <si>
    <t>Makine parçası, el aleti üzerine  düşmesi</t>
  </si>
  <si>
    <t>Yangın</t>
  </si>
  <si>
    <t>20-22</t>
  </si>
  <si>
    <t>22: YA Diğer</t>
  </si>
  <si>
    <t>12: KONVEYÖR OP. / Bantçı</t>
  </si>
  <si>
    <t>62: TESİS İŞÇ.2 / Tesis Yrd.</t>
  </si>
  <si>
    <t xml:space="preserve">0230: Tahkimat malzemesi düşmesi </t>
  </si>
  <si>
    <t>Kama düşmesi, direk kayması, tahkimat montajı sırasında</t>
  </si>
  <si>
    <t>Su Baskını / İnündasyon</t>
  </si>
  <si>
    <t>22-24</t>
  </si>
  <si>
    <t>31: Tesisler / Kırıcı-Silo-Tikiner</t>
  </si>
  <si>
    <t>13: MONORAY OP. / Kulikar Op.</t>
  </si>
  <si>
    <t>63: MANEVRACI / Harmancı</t>
  </si>
  <si>
    <t>0240: Dönen/hareketli parçaya kapılma</t>
  </si>
  <si>
    <t>Mil, kayış, dişli, konveyör ruloya kapılma</t>
  </si>
  <si>
    <t>Patlayıcı Madde / Dinamit</t>
  </si>
  <si>
    <t>32: Açık Ocak / Şev Kenarı</t>
  </si>
  <si>
    <t>14: DESANDRE VİNÇÇİSİ / Vinççi</t>
  </si>
  <si>
    <t>64: KANTAR GÖR. / Kantarcı</t>
  </si>
  <si>
    <t>0250: Konveyör/bant kazası - Kapılma</t>
  </si>
  <si>
    <t>Bant sistemine kapılma, bant kayışı kopması, ürün sıkışması</t>
  </si>
  <si>
    <t>Elle Taşıma / Zorlanma / Burkulma</t>
  </si>
  <si>
    <t>33: Atölyeler / Kaynakhane</t>
  </si>
  <si>
    <t>15: MALZ.TAK.DAĞ.İŞÇ. / Malzemeci</t>
  </si>
  <si>
    <t>65: NUMUNECİ / Numune Alma El.</t>
  </si>
  <si>
    <t>0260: Yükleme/boşaltma sırasında ezilme</t>
  </si>
  <si>
    <t>Araç-malzeme arasına sıkışma, damper altında kalma</t>
  </si>
  <si>
    <t>Mahsur Kalma / Entrapment</t>
  </si>
  <si>
    <t>34: Pazarlama / Kantar Sahası</t>
  </si>
  <si>
    <t>16: TAMİR BAKIM USTA / Mekanikçi</t>
  </si>
  <si>
    <t>66: BEDEN İŞÇ.(Y.Ü.) / Amele</t>
  </si>
  <si>
    <t>0270: Diğer malzeme düşmesi/sıkışma</t>
  </si>
  <si>
    <t>Sınıflandırılamayan sıkışma/ezilme olayları</t>
  </si>
  <si>
    <t>Sıcak Çalışma / Kaynak</t>
  </si>
  <si>
    <t>35: Sosyal Tes. / İdari Bina</t>
  </si>
  <si>
    <t>17: ELEKTRİKÇİ(Y.A.)</t>
  </si>
  <si>
    <t>67: TAH.TAH.İŞÇ. / Yükçü</t>
  </si>
  <si>
    <t>03 - DÜŞME KİŞİ (Slip or Fall of Person)</t>
  </si>
  <si>
    <t>Sağlık Sorunu / İşyerinde</t>
  </si>
  <si>
    <t>36: Servis Yolu / Ulaşım</t>
  </si>
  <si>
    <t>18: EL.ELEK.TEK. / Otomasyon Tek.</t>
  </si>
  <si>
    <t>68: AKARYAKIT SOR. / Yakıt İst.Şefi</t>
  </si>
  <si>
    <t>0310: Yürürken  düşme / Aynı seviye</t>
  </si>
  <si>
    <t>Yürürken kayma, ıslak/çamurlu zeminde kayarak düşme, ayak burkması sonrası düşme</t>
  </si>
  <si>
    <t>Basınçlı Kap Patl. / Hortum</t>
  </si>
  <si>
    <t>37: Laboratuvar / Numune Haz.</t>
  </si>
  <si>
    <t>19: TULUMBACI / Pompacı</t>
  </si>
  <si>
    <t>69: AKARYAKIT DOL. / Pompacı-Yakıtçı</t>
  </si>
  <si>
    <t>0320: Yüksekten düşme - Platform/Merdiven</t>
  </si>
  <si>
    <t>Merdivenden, stok yığınından, basamaktan, platform, iskeleden düşme</t>
  </si>
  <si>
    <t>Diğer Nedenler</t>
  </si>
  <si>
    <t>38: Pasa Döküm / Stok Sahası</t>
  </si>
  <si>
    <t>20: KUM.MERKEZİ OP. / Panel Op.</t>
  </si>
  <si>
    <t>70: İŞ MAK.BAK.ON. / Ağır Mak.Tam.</t>
  </si>
  <si>
    <t>0330: Boşluğa/kanala düşme - Hendek</t>
  </si>
  <si>
    <t>Su kanalı, kulikar yolu boşluğu, hendek, çukur</t>
  </si>
  <si>
    <t>39: Malzeme Deposu / Ambar</t>
  </si>
  <si>
    <t>21: İŞL.ELEK.BAKIMCI</t>
  </si>
  <si>
    <t>71: İŞ MAK.BAK.ON.2 / Mek.Çırağı</t>
  </si>
  <si>
    <t>0340: Araçtan/iş makinesinden  düşme</t>
  </si>
  <si>
    <t>Kamyon, iş makinesi, servis, kulikar, monoray, araçtan inerken/binerken düşme</t>
  </si>
  <si>
    <t>40: Bant Hattı (Yerüstü)</t>
  </si>
  <si>
    <t>22: MADEN TEKNİKERİ / Tek.Gözetmen</t>
  </si>
  <si>
    <t>72: MEK.BAK.ON. / Mekanikçi</t>
  </si>
  <si>
    <t>0350: Kuyu/eğimli kuyu içi düşme</t>
  </si>
  <si>
    <t>Kuyu, bacada kayma/düşme, skip üzerinden düşme</t>
  </si>
  <si>
    <t>41: Park / Garaj Sahası</t>
  </si>
  <si>
    <t>23: ÖLÇÜ TESPİT ELEM. / Ölçücü</t>
  </si>
  <si>
    <t>73: MEK.BAK.ON.2 / Mek.Yrd.</t>
  </si>
  <si>
    <t>0360: Duran nesneye çarpıp/takılıp düşme - Ray/Kablo</t>
  </si>
  <si>
    <t>Raylar, hortumlar, kablolara takılıp düşme, duran nesneye çarpıp düşme</t>
  </si>
  <si>
    <t>42: YÜ Diğer</t>
  </si>
  <si>
    <t>24: ÖLÇÜ TESPİT SOR. / Markşayder</t>
  </si>
  <si>
    <t>74: KAYNAKÇI / Kaynak Ustası</t>
  </si>
  <si>
    <t>0370: El aleti ile çalışırken düşme</t>
  </si>
  <si>
    <t>El aleti çalışırken düşme</t>
  </si>
  <si>
    <t>25: NEZARETÇİ / Vardiya Amiri</t>
  </si>
  <si>
    <t>75: SOĞUK DEMİRCİ / Demirci</t>
  </si>
  <si>
    <t>0380: Diğer kişi düşme olayları</t>
  </si>
  <si>
    <t>Sınıflandırılamayan düşme olayları</t>
  </si>
  <si>
    <t>26: Y.A.İSG DESTEK EL. / Gaz Ölçümcü</t>
  </si>
  <si>
    <t>76: TESVİYECİ / Tesviye Ustası</t>
  </si>
  <si>
    <t>04 - ÇARPMA / VURMA / BATMA (Striking / Bumping)</t>
  </si>
  <si>
    <t>KAZALANAN UZUV</t>
  </si>
  <si>
    <t>YA TOPLAM</t>
  </si>
  <si>
    <t>77: TORNACI / Torna Op.</t>
  </si>
  <si>
    <t>0410: Aletle çalırıken kendine vurma, sıkıştırma, çarpma, kesme</t>
  </si>
  <si>
    <t>Kazma ters dönmesi, anahtar vurması, levye kayması, aletle çalırışırken kendine vurmak</t>
  </si>
  <si>
    <t>10: BAŞ (Genel)</t>
  </si>
  <si>
    <t>78: FREZECİ / Freze Op.</t>
  </si>
  <si>
    <t>0420: Makine/iş makinesi çarpması</t>
  </si>
  <si>
    <t>Kepçenin ani hareketi, makine kolu çarpması</t>
  </si>
  <si>
    <t>11: Kafa/Kafatası</t>
  </si>
  <si>
    <t>79: DÖK.MODELCİSİ / Kalıpçı</t>
  </si>
  <si>
    <t>12: Göz</t>
  </si>
  <si>
    <t>80: MARANGOZ / Doğramacı</t>
  </si>
  <si>
    <t>0440: Sabit nesneye çarpma - Tavan/Dikme/Kama</t>
  </si>
  <si>
    <t>Alçak tavana/dikmeleye kafa çarpma, galeri köşesine çarpma</t>
  </si>
  <si>
    <t>13: Kulak</t>
  </si>
  <si>
    <t>81: RADYATÖR TAM. / Radyatörcü</t>
  </si>
  <si>
    <t>0450: Fırlayan/sıçrayan parça - Halat/Zincir</t>
  </si>
  <si>
    <t>Kırılan zincir, kopan halat, fırlayan parça</t>
  </si>
  <si>
    <t>14: Burun</t>
  </si>
  <si>
    <t>82: OTO.ELEKTRİKÇİ / Araç Elek.</t>
  </si>
  <si>
    <t>0460: Basınçlı madde/su sıçraması - Hidrolik</t>
  </si>
  <si>
    <t>Hidrolik yağ, su, hava sıçraması/patlaması</t>
  </si>
  <si>
    <t>15: Yüz/Çene/Alın</t>
  </si>
  <si>
    <t>83: BOYACI / Boya Ustası</t>
  </si>
  <si>
    <t>0470: Diğer çarpma/vurma olayları</t>
  </si>
  <si>
    <t>Sınıflandırılamayan çarpma olayları</t>
  </si>
  <si>
    <t>20: BOYUN</t>
  </si>
  <si>
    <t>84: İNŞAAT İŞÇ. / Betoncu</t>
  </si>
  <si>
    <t>05 - MOTORLU NAKLİYE / ARAÇ (Powered Haulage)</t>
  </si>
  <si>
    <t>30: KOL (Genel)</t>
  </si>
  <si>
    <t>85: İNŞAAT USTA / Kalfa</t>
  </si>
  <si>
    <t>0510: Servis aracı kazası - Devrilme</t>
  </si>
  <si>
    <t>Devrilme, çarpışma, olumsuz hava/yol koşulları, araç kapısına sıkışma</t>
  </si>
  <si>
    <t>31: Omuz/Kürek Kemiği</t>
  </si>
  <si>
    <t>86: ELEKTRİK TEK. / Elek.Teknisyen</t>
  </si>
  <si>
    <t>0520: İş makinası kazası - Dozer/Ekskavatör</t>
  </si>
  <si>
    <t>Ekskavatör, dozer, loder kazası, devrilme</t>
  </si>
  <si>
    <t>32: Üst Kol</t>
  </si>
  <si>
    <t>87: ELEKTRONİK TEK. / Elektronikçi</t>
  </si>
  <si>
    <t>0530: Maden kamyonu kazası - Damperli</t>
  </si>
  <si>
    <t>Damperli kamyon, arazöz, petrol tankeri, bakım aracı kazası</t>
  </si>
  <si>
    <t>33: Dirsek</t>
  </si>
  <si>
    <t>88: HARİTA TEK. / Haritacı</t>
  </si>
  <si>
    <t>0540: Vagon/araba kayması - Fren</t>
  </si>
  <si>
    <t>Ray üstü vagonun kayması, araba freni tutmaması</t>
  </si>
  <si>
    <t>34: Ön Kol</t>
  </si>
  <si>
    <t>89: HARİTA TEKN. / Ölçüm Tekn.</t>
  </si>
  <si>
    <t>0550: Kulikar/monoray kazası</t>
  </si>
  <si>
    <t>Yeraltı yükleyici-taşıyıcı araç kazaları</t>
  </si>
  <si>
    <t>35: El Bileği</t>
  </si>
  <si>
    <t>90: TOPOĞRAF YRD. / Ölçüm Yrd.</t>
  </si>
  <si>
    <t>0560: Yaya-araç çarpışması - Manevra</t>
  </si>
  <si>
    <t>Yürüyen işçiye aracın çarpması, geri manevra</t>
  </si>
  <si>
    <t>36: EL (Genel)</t>
  </si>
  <si>
    <t>91: KİMYA TEK. / Lab Tekniker</t>
  </si>
  <si>
    <t>0570: Diğer motorlu nakliye kazaları</t>
  </si>
  <si>
    <t>Sınıflandırılamayan nakliye kazaları</t>
  </si>
  <si>
    <t>37: Parmaklar (El)</t>
  </si>
  <si>
    <t>92: KİMYA TEKN. / Analiz Tekn.</t>
  </si>
  <si>
    <t>06 - MOTORSUZ NAKLİYE (Non-Powered Haulage)</t>
  </si>
  <si>
    <t>40: BACAK (Genel)</t>
  </si>
  <si>
    <t>93: İNŞ.TEK.TEKNİKERİ / İnş.Tek.</t>
  </si>
  <si>
    <t>0610: El arabası/manuel vagon kazası</t>
  </si>
  <si>
    <t>El arabası devrilmesi, elle itilen vagon çarpması</t>
  </si>
  <si>
    <t>41: Kalça/Uyluk</t>
  </si>
  <si>
    <t>94: MAKİNE TEK. / Mak.Teknisyen</t>
  </si>
  <si>
    <t>0620: Kızak/oluk kayması - Chute</t>
  </si>
  <si>
    <t>Kızak üzerinde kayma, oluk tıkanması/patlaması</t>
  </si>
  <si>
    <t>42: Diz</t>
  </si>
  <si>
    <t>95: MAKİNE RES. / CAD Op.</t>
  </si>
  <si>
    <t>0630: Diğer motorsuz nakliye</t>
  </si>
  <si>
    <t>Çekme halatı, zincirli taşıma sorunları</t>
  </si>
  <si>
    <t>43: Alt Bacak/Baldır</t>
  </si>
  <si>
    <t>96: İDARİ BÜRO 1 / Büro Memuru</t>
  </si>
  <si>
    <t>07 - VİNÇ / KALDIRMA (Hoisting)</t>
  </si>
  <si>
    <t>44: Ayak Bileği</t>
  </si>
  <si>
    <t>97: İDARİ BÜRO 2 / Sekreter</t>
  </si>
  <si>
    <t>0710: Kafes/skip kazası</t>
  </si>
  <si>
    <t>Kafes/skip arızası, sıkışması, kopması</t>
  </si>
  <si>
    <t>45: AYAK (Genel)</t>
  </si>
  <si>
    <t>98: BİLG.İŞLETMENİ / PC Op.</t>
  </si>
  <si>
    <t>0720: Vinç halatı/zincir kopması</t>
  </si>
  <si>
    <t>Kaldırma halatının kopması, zincir arızası</t>
  </si>
  <si>
    <t>46: Parmaklar (Ayak)</t>
  </si>
  <si>
    <t>99: BİLG.TEK.TEK. / BT Teknikeri</t>
  </si>
  <si>
    <t>0730: Kaldırma sırasında yük düşmesi</t>
  </si>
  <si>
    <t>Vinç ile kaldırılan yükün düşmesi/sallanması</t>
  </si>
  <si>
    <t>50: GÖVDE (Genel)</t>
  </si>
  <si>
    <t>100: SANTRAL OP. / Santralci</t>
  </si>
  <si>
    <t>0740: Kuyu dibi/başı kazası</t>
  </si>
  <si>
    <t>Kuyu dibi/başı bekleme alanında meydana gelen kazalar</t>
  </si>
  <si>
    <t>51: Göğüs/Kaburgalar</t>
  </si>
  <si>
    <t>101: ÇEVRE SAĞ.TEK. / Çevreci</t>
  </si>
  <si>
    <t>0750: Diğer vinç/kaldırma kazaları</t>
  </si>
  <si>
    <t>Derrick, mobil vinç, monoray kaldırıcı kazaları</t>
  </si>
  <si>
    <t>52: Sırt (Üst)</t>
  </si>
  <si>
    <t>102: DİĞ.SAĞ.PER. / Revir Gör.</t>
  </si>
  <si>
    <t>08 - MAKİNE KAZASI (Machinery)</t>
  </si>
  <si>
    <t>53: Bel (Alt Sırt)</t>
  </si>
  <si>
    <t>103: AŞÇI / Mutfak Gör.</t>
  </si>
  <si>
    <t>0810: Kazı makinesi kazası - Shearer/RH</t>
  </si>
  <si>
    <t>Shearer, road header, continuous miner arızası/kazası</t>
  </si>
  <si>
    <t>54: Karın/Böbrek</t>
  </si>
  <si>
    <t>104: ŞEF GARSON / Garson Başı</t>
  </si>
  <si>
    <t>0820: Matkap/delici kazası - Perforatör</t>
  </si>
  <si>
    <t>Delme makinesi, perforatör, kaya delici kazası</t>
  </si>
  <si>
    <t>55: Pelvis/Leğen K.</t>
  </si>
  <si>
    <t>105: BAHÇIVAN / Bahçe İşçisi</t>
  </si>
  <si>
    <t>0830: Kompresör/pompa kazası</t>
  </si>
  <si>
    <t>Kompresör patlaması, pompa arızası, basınç kaybı</t>
  </si>
  <si>
    <t>60: OMURGA/DİSK</t>
  </si>
  <si>
    <t>YÜ TOPLAM</t>
  </si>
  <si>
    <t>0840: Kırıcı/öğütücü kazası</t>
  </si>
  <si>
    <t>Kırıcı makine, eleme, öğütücü kazaları</t>
  </si>
  <si>
    <t>70: İÇ ORGANLAR</t>
  </si>
  <si>
    <t>0850: Kaynak makinesi kazası</t>
  </si>
  <si>
    <t>Kaynak makinesinden kaynaklanan arıza/kaza</t>
  </si>
  <si>
    <t>80: MUHTELİF</t>
  </si>
  <si>
    <t>0860: Hidrolik sistem arızası - Hat patl.</t>
  </si>
  <si>
    <t>Hidrolik hat patlaması, valf arızası, silindir çıkması</t>
  </si>
  <si>
    <t>90: TÜM VÜCUT</t>
  </si>
  <si>
    <t>0870: Tahkimat ekipmanı arızası - Direk/Şilt</t>
  </si>
  <si>
    <t>Tahkimat basıncı, hidrolik direk patlaması, ayak kayması</t>
  </si>
  <si>
    <t>99: DİĞER</t>
  </si>
  <si>
    <t>0880: Diğer makine kazaları</t>
  </si>
  <si>
    <t>Sınıflandırılamayan makine/ekipman kazaları</t>
  </si>
  <si>
    <t>09 - ELEKTRİK KAZASI (Electrical)</t>
  </si>
  <si>
    <t>0910: Elektrik çarpması - Kaçak akım</t>
  </si>
  <si>
    <t>Kablo voltajı, elektrik teması, kaçak akım</t>
  </si>
  <si>
    <t>0920: Elektrik arkı/yanığı - Kısa devre</t>
  </si>
  <si>
    <t>Ark oluşumu, kısa devre yanığı, pano patlaması</t>
  </si>
  <si>
    <t>0930: Statik elektrik kaynaklı kaza</t>
  </si>
  <si>
    <t>Statik boşalma sonucu tutuşma/çarpma</t>
  </si>
  <si>
    <t>0940: Diğer elektrik kazaları</t>
  </si>
  <si>
    <t>Topraklama hatası, izolasyon bozukluğu</t>
  </si>
  <si>
    <t>10 - GAZ/TOZ PATLAMASI (Ignition/Explosion)</t>
  </si>
  <si>
    <t>1010: Grizu/metan patlaması</t>
  </si>
  <si>
    <t>Metan gazı tutuşması, grizu patlaması</t>
  </si>
  <si>
    <t>1020: Kömür tozu patlaması</t>
  </si>
  <si>
    <t>Kömür tozu tutuşması, toz bulutu patlaması</t>
  </si>
  <si>
    <t>1030: Gaz sızıntısı/zehirlenme - CO/H₂S</t>
  </si>
  <si>
    <t>CO, CO₂, H₂S, SO₂ gazına maruz kalma, oksijen yetersizliği</t>
  </si>
  <si>
    <t>1040: Ani gaz püskürmesi - Outburst</t>
  </si>
  <si>
    <t>Kömür ve gaz ani püskürmesi</t>
  </si>
  <si>
    <t>1050: Diğer gaz/toz olayları</t>
  </si>
  <si>
    <t>Diğer tutuşma, patlama veya gaz olayları</t>
  </si>
  <si>
    <t>11 - YANGIN (Fire)</t>
  </si>
  <si>
    <t>1110: Yeraltı yangını - Kendiliğinden yanma</t>
  </si>
  <si>
    <t>Kömürün kendiliğinden yanması</t>
  </si>
  <si>
    <t>1120: Yerüstü yangını - Tesis/Atölye/Araç</t>
  </si>
  <si>
    <t>Tesis, atölye, bina, sosyal tesisler, kömür yangını</t>
  </si>
  <si>
    <t>1130: Araç/iş makinesi yangını</t>
  </si>
  <si>
    <t>Kamyon, iş makinesi, servis, araç yangını</t>
  </si>
  <si>
    <t>1140: Alet/makine yangını</t>
  </si>
  <si>
    <t>Alet/edevat/makine (iş makinesi dışındakiler) yangını</t>
  </si>
  <si>
    <t>1150: Elektrik yangını</t>
  </si>
  <si>
    <t>Elektrik yangınları</t>
  </si>
  <si>
    <t>1160: Diğer yangın olayları</t>
  </si>
  <si>
    <t>Sınıflandırılamayan yangın olayları</t>
  </si>
  <si>
    <t>12 - SU BASKINI / İNÜNDASYON (Inundation)</t>
  </si>
  <si>
    <t>1210: Yeraltı su baskını - Fay/Eski galeri</t>
  </si>
  <si>
    <t>Fay hattından su gelişi, eski galeri su baskını, taban suyu</t>
  </si>
  <si>
    <t>1220: Çamur/kum akması - Sıvılaşma</t>
  </si>
  <si>
    <t>Sıvılaşmış malzeme akışı, çamur patlaması</t>
  </si>
  <si>
    <t>1230: Yüzey suyu taşkını - Sel</t>
  </si>
  <si>
    <t>Sel, yağmur suyu, baraj/gölet taşması</t>
  </si>
  <si>
    <t>1240: Diğer su/sıvı baskınları</t>
  </si>
  <si>
    <t>Boru patlaması, hidrolik hat sızıntısı kaynaklı su baskını</t>
  </si>
  <si>
    <t>13 - PATLAYICI MADDE KAZASI (Explosives)</t>
  </si>
  <si>
    <t>1310: Dinamit atışı sırasında - Taş sekmesi</t>
  </si>
  <si>
    <t>Taş sekmesi, patlama etkisi, erken/geç ateşleme</t>
  </si>
  <si>
    <t>1320: Patlayıcı depolama/taşıma kazası</t>
  </si>
  <si>
    <t>Barutluk, patlayıcı nakli sırasında kaza</t>
  </si>
  <si>
    <t>1330: Ateşleme sistemi arızası - Kapsül/Fitil</t>
  </si>
  <si>
    <t>Kapsül, fitil, elektrikli ateşleme arızası</t>
  </si>
  <si>
    <t>1340: Sıkışmış patlayıcı - Misfire</t>
  </si>
  <si>
    <t>Patlamayan lağım, sıkışık patlayıcı temizleme</t>
  </si>
  <si>
    <t>1350: Diğer patlayıcı madde kazaları</t>
  </si>
  <si>
    <t>Sınıflandırılamayan patlayıcı olayları</t>
  </si>
  <si>
    <t>14 - ELLE TAŞIMA / ZORLANMA /BURKULMA (Overexertion)</t>
  </si>
  <si>
    <t>1420: Kas/eklem zorlanması - Burkulma</t>
  </si>
  <si>
    <t>Malzeme, itme/çekme, kaldırma/indirme sıasında kol, omuz, bilek, diz ağrısı, burkulma</t>
  </si>
  <si>
    <t>1430: Tekrarlayan hareket yaralanması</t>
  </si>
  <si>
    <t>Uzun süreli tekrarlayan hareketlerden kaynaklanan</t>
  </si>
  <si>
    <t>1440: Diğer zorlanma olayları</t>
  </si>
  <si>
    <t>Sınıflandırılamayan zorlanma/incinme</t>
  </si>
  <si>
    <t>15 - MAHSUR KALMA (Entrapment)</t>
  </si>
  <si>
    <t>1510: Göçük sonrası mahsur kalma</t>
  </si>
  <si>
    <t>Tavan/yan duvar/galeri ağzı  göçüğü nedeniyle mahsur kalma</t>
  </si>
  <si>
    <t>1520: Yangın/gaz nedeniyle mahsur kalma</t>
  </si>
  <si>
    <t>Yangın veya gaz nedeniyle çıkış yolunun kapanması</t>
  </si>
  <si>
    <t>1530: Su baskını nedeniyle mahsur kalma</t>
  </si>
  <si>
    <t>Su yükselmesi nedeniyle çıkamama</t>
  </si>
  <si>
    <t>1540: Diğer mahsur kalma olayları</t>
  </si>
  <si>
    <t>Ekipman arızası vb. nedenlerle mahsur kalma</t>
  </si>
  <si>
    <t>16 - SICAK ÇALIŞMA / KAYNAK (Hot Work)</t>
  </si>
  <si>
    <t>1610: Kaynak dumanı/kıvılcım</t>
  </si>
  <si>
    <t>Göze kaynak ışığı, kıvılcım sıçraması, duman soluma</t>
  </si>
  <si>
    <t>1620: Sıcak yüzey yanığı - Metal/Buhar</t>
  </si>
  <si>
    <t>Kaynak parçası, sıcak metal, buhar yanığı</t>
  </si>
  <si>
    <t>1630: Kesme/taşlama kazası - Disk kırılması</t>
  </si>
  <si>
    <t>Disk kırılması, taşlama çapağı</t>
  </si>
  <si>
    <t>1640: Diğer sıcak çalışma kazaları</t>
  </si>
  <si>
    <t>Sınıflandırılamayan sıcak çalışma olayları</t>
  </si>
  <si>
    <t>17 - SAĞLIK SORUNU İŞYERİNDE (Occ. Health)</t>
  </si>
  <si>
    <t>1710: Baş dönmesi/tansiyon/bayılma</t>
  </si>
  <si>
    <t>Bayılma, tansiyon düşmesi, baş dönmesi</t>
  </si>
  <si>
    <t>1720: Mide/karın ağrıs/ishal/kusma - Zehirlenme</t>
  </si>
  <si>
    <t>Mide bulantısı, ishal, gıda zehirlenmesi, karın ağrısı</t>
  </si>
  <si>
    <t>1730: Göğüs/kalp sıkışması</t>
  </si>
  <si>
    <t>Kalp çarpıntısı, nefes darlığı, göğüs ağrısı</t>
  </si>
  <si>
    <t>1740: Ateş/üşüme/halsizlik</t>
  </si>
  <si>
    <t>Genel halsizlik, ateş, titreme</t>
  </si>
  <si>
    <t>1750: Sara nöbeti / Epilepsi</t>
  </si>
  <si>
    <t>İşyerinde sara krizi</t>
  </si>
  <si>
    <t>1760: Isı çarpması / Hipotermi</t>
  </si>
  <si>
    <t>Aşırı sıcak/soğuk maruziyeti</t>
  </si>
  <si>
    <t>1770: Toz maruziyeti (akut) - Öksürük</t>
  </si>
  <si>
    <t>Akut toz soluma, öksürük krizi</t>
  </si>
  <si>
    <t>1780: Gürültü maruziyeti (akut) - Çınlama</t>
  </si>
  <si>
    <t>Anlık yüksek gürültü, kulak çınlaması</t>
  </si>
  <si>
    <t>1790: Diğer sağlık sorunları</t>
  </si>
  <si>
    <t>Diğer işyerinde ortaya çıkan sağlık sorunları</t>
  </si>
  <si>
    <t>18 - BASINÇLI KAP PATLAMASI (Pressure Vessel)</t>
  </si>
  <si>
    <t>1810: Hava hortumu/tankı patlaması</t>
  </si>
  <si>
    <t>Basınçlı hava hattı, hava tankı patlaması</t>
  </si>
  <si>
    <t>1820: Hidrolik hat/hortum patlaması</t>
  </si>
  <si>
    <t>Hidrolik boru/hortum patlaması, fitting kopması</t>
  </si>
  <si>
    <t>1830: Lastik patlaması - Araç/Ekipman</t>
  </si>
  <si>
    <t>Araç/ekipman lastiği patlaması</t>
  </si>
  <si>
    <t>1840: Diğer basınçlı kap patlamaları</t>
  </si>
  <si>
    <t>Kompresör, akümülatör vb. patlamalar</t>
  </si>
  <si>
    <t>19 - DİĞER NEDENLER (Other)</t>
  </si>
  <si>
    <t>1910: Hayvan/böcek saldırısı</t>
  </si>
  <si>
    <t>Yılan, akrep, arı sokması, köpek ısırması</t>
  </si>
  <si>
    <t>1920: Doğal afet etkisi - Deprem/Sel</t>
  </si>
  <si>
    <t>Deprem, sel, yıldırım çarpması</t>
  </si>
  <si>
    <t>1930: Şiddet/saldırı - Darp</t>
  </si>
  <si>
    <t>İşçiler arası kavga, darp</t>
  </si>
  <si>
    <t>1940: Nesneye basma - Çivi/Cam</t>
  </si>
  <si>
    <t>Çivi, cam, keskin nesne üzerine basma</t>
  </si>
  <si>
    <t>1950: Kimyasal madde teması - Asit/Solvent</t>
  </si>
  <si>
    <t>Asit, baz, solvent, yakıt teması/sıçraması</t>
  </si>
  <si>
    <t>1960: Göze toz/toprak/yabancı madde kaçması - Gözde batma</t>
  </si>
  <si>
    <t>Göze toz/toprak/yabancı madde (kaynak hariç) kaçması , gözde batma</t>
  </si>
  <si>
    <t>1970: Radyasyon maruziyeti</t>
  </si>
  <si>
    <t>İyonlaştırıcı/iyonlaştırıcı olmayan radyasyon</t>
  </si>
  <si>
    <t>1990: Diğer (sınıflandırılamayan)</t>
  </si>
  <si>
    <t>Yukarıdaki hiçbir kategoriye girmeyen kazalar</t>
  </si>
  <si>
    <t>UZUV-GÜN</t>
  </si>
  <si>
    <t>KAZA-UZUV</t>
  </si>
  <si>
    <t>TABLOLARDAKI "TOPLAM" RAKAMLARININ KARŞILAŞTIRMASI</t>
  </si>
  <si>
    <t>Kaza türü</t>
  </si>
  <si>
    <t>Kaza türü-yeri</t>
  </si>
  <si>
    <t>Kaza türü-sanat</t>
  </si>
  <si>
    <t>Kaza yeri-sanat</t>
  </si>
  <si>
    <t>Kaza türü-uzuv</t>
  </si>
  <si>
    <t>Aylar-kazalı</t>
  </si>
  <si>
    <t>Günler-kazalı</t>
  </si>
  <si>
    <t>Saat-kazalı</t>
  </si>
  <si>
    <t>Uzuv-kazalı</t>
  </si>
  <si>
    <t>Gün kayıbı-kazalı</t>
  </si>
  <si>
    <t>Yaş-kazalı</t>
  </si>
  <si>
    <t>Göçük-sanat</t>
  </si>
  <si>
    <t>Elle taşıma-sanat</t>
  </si>
  <si>
    <t>Düşme-sanat</t>
  </si>
  <si>
    <t>ÖZET BİLGİLER</t>
  </si>
  <si>
    <t>Yeraltı</t>
  </si>
  <si>
    <t>Yerüstü</t>
  </si>
  <si>
    <t>Toplam</t>
  </si>
  <si>
    <t>Yaralı:</t>
  </si>
  <si>
    <t>Ölü:</t>
  </si>
  <si>
    <t>Toplam kazalı:</t>
  </si>
  <si>
    <t>İşçi Sayısı:</t>
  </si>
  <si>
    <t>Fiili yevmiye sayısı:</t>
  </si>
  <si>
    <t>Toplam çalışma saati:</t>
  </si>
  <si>
    <t>Toplam iş günü kaybı:</t>
  </si>
  <si>
    <t>İşçi sayısı / kazalı:</t>
  </si>
  <si>
    <t>İş günü kaybı / kazalı:</t>
  </si>
  <si>
    <t>Kaza ağırlık oranı:</t>
  </si>
  <si>
    <t>Kaza sıklık oranı:</t>
  </si>
  <si>
    <t>Satılabilir üretim (ton):</t>
  </si>
  <si>
    <t>Üretim/kazalı (t./kaza.):</t>
  </si>
  <si>
    <t>Ayrıntılı Neden</t>
  </si>
  <si>
    <t>Adet</t>
  </si>
  <si>
    <t>%</t>
  </si>
  <si>
    <t>01 - GÖÇÜK / TAŞ-KÖMÜR DÜŞMESİ /KAYMA</t>
  </si>
  <si>
    <t>Tavandan taş/kömür düşmesi</t>
  </si>
  <si>
    <t>Yan duvar/kanat düşmesi</t>
  </si>
  <si>
    <t>Ayna göçüğü / Ayna düşmesi</t>
  </si>
  <si>
    <t>Topuk/Ayak göçüğü</t>
  </si>
  <si>
    <t>Açık ocak şev kayması/göçüğü</t>
  </si>
  <si>
    <t>Dolgu/Tavan arası çökmesi</t>
  </si>
  <si>
    <t>Diğer göçük/düşme olayları</t>
  </si>
  <si>
    <t>02 - MALZEME DÜŞMESİ / SIKIŞMA / EZİLME</t>
  </si>
  <si>
    <t>Malzeme arası sıkışma (el/parmak)</t>
  </si>
  <si>
    <t>Makine/ekipman parçası düşmesi</t>
  </si>
  <si>
    <t>Tahkimat malzemesi düşmesi</t>
  </si>
  <si>
    <t>Dönen/hareketli parçaya kapılma</t>
  </si>
  <si>
    <t>Konveyör/bant kazası - Kapılma</t>
  </si>
  <si>
    <t>Yükleme/boşaltma sırasında ezilme</t>
  </si>
  <si>
    <t>Diğer malzeme düşmesi/sıkışma</t>
  </si>
  <si>
    <t>03 - DÜŞME KİŞİ</t>
  </si>
  <si>
    <t>Yürürken düşme / Aynı seviye</t>
  </si>
  <si>
    <t>Yüksekten düşme - Platform/Merdiven</t>
  </si>
  <si>
    <t>Boşluğa/kanala düşme - Hendek</t>
  </si>
  <si>
    <t>Araçtan/iş makinesinden düşme</t>
  </si>
  <si>
    <t>Kuyu/eğimli kuyu içi düşme</t>
  </si>
  <si>
    <t>Duran nesneye çarpıp/takılıp düşme</t>
  </si>
  <si>
    <t>El aleti ile çalışırken düşme</t>
  </si>
  <si>
    <t>Diğer kişi düşme olayları</t>
  </si>
  <si>
    <t>04 - ÇARPMA / VURMA / BATMA</t>
  </si>
  <si>
    <t>Aletle çalışırken kendine vurma/çarpma/kesme</t>
  </si>
  <si>
    <t>Makine/iş makinesi çarpması</t>
  </si>
  <si>
    <t>Tel/çapak/kıymık batması - Sıçrama</t>
  </si>
  <si>
    <t>Sabit nesneye çarpma - Tavan/Dikme</t>
  </si>
  <si>
    <t>Fırlayan/sıçrayan parça</t>
  </si>
  <si>
    <t>Basınçlı madde/su sıçraması</t>
  </si>
  <si>
    <t>Diğer çarpma/vurma olayları</t>
  </si>
  <si>
    <t>05 - MOTORLU NAKLİYE / ARAÇ</t>
  </si>
  <si>
    <t>Servis aracı kazası - Devrilme</t>
  </si>
  <si>
    <t>İş makinası kazası - Dozer/Ekskavatör</t>
  </si>
  <si>
    <t>Maden kamyonu kazası - Damperli</t>
  </si>
  <si>
    <t>Vagon/araba kayması - Fren</t>
  </si>
  <si>
    <t>Kulikar/monoray kazası</t>
  </si>
  <si>
    <t>Yaya-araç çarpışması - Manevra</t>
  </si>
  <si>
    <t>Diğer motorlu nakliye kazaları</t>
  </si>
  <si>
    <t>06 - MOTORSUZ NAKLİYE</t>
  </si>
  <si>
    <t>El arabası/manuel vagon kazası</t>
  </si>
  <si>
    <t>Kızak/oluk kayması</t>
  </si>
  <si>
    <t>Diğer motorsuz nakliye</t>
  </si>
  <si>
    <t>07 - VİNÇ / KALDIRMA</t>
  </si>
  <si>
    <t>Kafes/skip kazası</t>
  </si>
  <si>
    <t>Vinç halatı/zincir kopması</t>
  </si>
  <si>
    <t>Kaldırma sırasında yük düşmesi</t>
  </si>
  <si>
    <t>Kuyu dibi/başı kazası</t>
  </si>
  <si>
    <t>Diğer vinç/kaldırma kazaları</t>
  </si>
  <si>
    <t>08 - MAKİNE KAZASI</t>
  </si>
  <si>
    <t>Kazı makinesi kazası - Shearer/RH</t>
  </si>
  <si>
    <t>Matkap/delici kazası - Perforatör</t>
  </si>
  <si>
    <t>Kompresör/pompa kazası</t>
  </si>
  <si>
    <t>Kırıcı/öğütücü kazası</t>
  </si>
  <si>
    <t>Kaynak makinesi kazası</t>
  </si>
  <si>
    <t>Hidrolik sistem arızası</t>
  </si>
  <si>
    <t>Tahkimat ekipmanı arızası</t>
  </si>
  <si>
    <t>Diğer makine kazaları</t>
  </si>
  <si>
    <t>09 - ELEKTRİK KAZASI</t>
  </si>
  <si>
    <t>Elektrik çarpması</t>
  </si>
  <si>
    <t>Elektrik arkı/yanığı</t>
  </si>
  <si>
    <t>Statik elektrik kaynaklı kaza</t>
  </si>
  <si>
    <t>Diğer elektrik kazaları</t>
  </si>
  <si>
    <t>10 - GAZ/TOZ PATLAMASI</t>
  </si>
  <si>
    <t>Grizu/metan patlaması</t>
  </si>
  <si>
    <t>Kömür tozu patlaması</t>
  </si>
  <si>
    <t>Gaz sızıntısı/zehirlenme</t>
  </si>
  <si>
    <t>Ani gaz püskürmesi (Outburst)</t>
  </si>
  <si>
    <t>Diğer gaz/toz olayları</t>
  </si>
  <si>
    <t>11 - YANGIN</t>
  </si>
  <si>
    <t>Yeraltı yangını - Kendiliğinden yanma</t>
  </si>
  <si>
    <t>Yerüstü yangını - Tesis/Atölye</t>
  </si>
  <si>
    <t>Araç/iş makinesi yangını</t>
  </si>
  <si>
    <t>Alet/makine yangını</t>
  </si>
  <si>
    <t>Elektrik yangını</t>
  </si>
  <si>
    <t>Diğer yangın olayları</t>
  </si>
  <si>
    <t>12 - SU BASKINI / İNÜNDASYON</t>
  </si>
  <si>
    <t>Yeraltı su baskını</t>
  </si>
  <si>
    <t>Çamur/kum akması</t>
  </si>
  <si>
    <t>Yüzey suyu taşkını</t>
  </si>
  <si>
    <t>Diğer su/sıvı baskınları</t>
  </si>
  <si>
    <t>13 - PATLAYICI MADDE KAZASI</t>
  </si>
  <si>
    <t>Dinamit atışı sırasında kaza</t>
  </si>
  <si>
    <t>Patlayıcı depolama/taşıma kazası</t>
  </si>
  <si>
    <t>Ateşleme sistemi arızası</t>
  </si>
  <si>
    <t>Sıkışmış patlayıcı (misfire)</t>
  </si>
  <si>
    <t>Diğer patlayıcı madde kazaları</t>
  </si>
  <si>
    <t>14 - ELLE TAŞIMA / ZORLANMA / BURKULMA</t>
  </si>
  <si>
    <t>Bel incitmesi/zorlanma</t>
  </si>
  <si>
    <t>Kas/eklem zorlanması - Burkulma</t>
  </si>
  <si>
    <t>Tekrarlayan hareket yaralanması</t>
  </si>
  <si>
    <t>Diğer zorlanma olayları</t>
  </si>
  <si>
    <t>15 - MAHSUR KALMA</t>
  </si>
  <si>
    <t>Göçük sonrası mahsur kalma</t>
  </si>
  <si>
    <t>Yangın/gaz nedeniyle mahsur kalma</t>
  </si>
  <si>
    <t>Su baskını nedeniyle mahsur kalma</t>
  </si>
  <si>
    <t>Diğer mahsur kalma olayları</t>
  </si>
  <si>
    <t>16 - SICAK ÇALIŞMA / KAYNAK</t>
  </si>
  <si>
    <t>Kaynak dumanı/kıvılcım</t>
  </si>
  <si>
    <t>Sıcak yüzey yanığı</t>
  </si>
  <si>
    <t>Kesme/taşlama kazası</t>
  </si>
  <si>
    <t>Diğer sıcak çalışma kazaları</t>
  </si>
  <si>
    <t>17 - SAĞLIK SORUNU İŞYERİNDE</t>
  </si>
  <si>
    <t>Baş dönmesi/tansiyon/bayılma</t>
  </si>
  <si>
    <t>Mide/karın ağrısı/ishal/kusma</t>
  </si>
  <si>
    <t>Göğüs/kalp sıkışması</t>
  </si>
  <si>
    <t>Ateş/üşüme/halsizlik</t>
  </si>
  <si>
    <t>Sara nöbeti / Epilepsi</t>
  </si>
  <si>
    <t>Isı çarpması / Hipotermi</t>
  </si>
  <si>
    <t>Toz maruziyeti (akut)</t>
  </si>
  <si>
    <t>Gürültü maruziyeti (akut)</t>
  </si>
  <si>
    <t>Diğer sağlık sorunları</t>
  </si>
  <si>
    <t>18 - BASINÇLI KAP PATLAMASI</t>
  </si>
  <si>
    <t>Hava hortumu/tankı patlaması</t>
  </si>
  <si>
    <t>Hidrolik hat/hortum patlaması</t>
  </si>
  <si>
    <t>Lastik patlaması</t>
  </si>
  <si>
    <t>Diğer basınçlı kap patlamaları</t>
  </si>
  <si>
    <t>19 - DİĞER NEDENLER</t>
  </si>
  <si>
    <t>Hayvan/böcek saldırısı</t>
  </si>
  <si>
    <t>Doğal afet etkisi</t>
  </si>
  <si>
    <t>Şiddet/saldırı - Darp</t>
  </si>
  <si>
    <t>Nesneye basma - Çivi/Cam</t>
  </si>
  <si>
    <t>Kimyasal madde teması</t>
  </si>
  <si>
    <t>Göze toz/yabancı madde kaçması</t>
  </si>
  <si>
    <t>Radyasyon maruziyeti</t>
  </si>
  <si>
    <t>Diğer (sınıflandırılamayan)</t>
  </si>
  <si>
    <t>KAZA</t>
  </si>
  <si>
    <t>NEDENİ</t>
  </si>
  <si>
    <t>Ayak içi/Pano</t>
  </si>
  <si>
    <t>Hazırlık galerisi</t>
  </si>
  <si>
    <t>Kömür baca/yolu</t>
  </si>
  <si>
    <t>Ana ihraç yolu</t>
  </si>
  <si>
    <t>Bant boyu</t>
  </si>
  <si>
    <t>Kuyu</t>
  </si>
  <si>
    <t>Vinç altı</t>
  </si>
  <si>
    <t>Tertip odası</t>
  </si>
  <si>
    <t>Kavşak</t>
  </si>
  <si>
    <t>Havalandırma</t>
  </si>
  <si>
    <t>Dolgu</t>
  </si>
  <si>
    <t>YA Diğer</t>
  </si>
  <si>
    <t>Tesisler</t>
  </si>
  <si>
    <t>Açık ocak</t>
  </si>
  <si>
    <t>Atölyeler</t>
  </si>
  <si>
    <t>Pazarlama/Kantar</t>
  </si>
  <si>
    <t>Sosyal tes.</t>
  </si>
  <si>
    <t>Servis yolu</t>
  </si>
  <si>
    <t>Laboratuvar</t>
  </si>
  <si>
    <t>Pasa döküm</t>
  </si>
  <si>
    <t>Malzeme deposu</t>
  </si>
  <si>
    <t>Bant hattı</t>
  </si>
  <si>
    <t>Park/Garaj</t>
  </si>
  <si>
    <t>YÜ Diğer</t>
  </si>
  <si>
    <t>GÖÇÜK, TAŞ VEYA KÖMÜR DÜŞ</t>
  </si>
  <si>
    <t>MALZEME DÜŞMESİ / SIKIŞMA</t>
  </si>
  <si>
    <t>DÜŞME (KİŞİ)</t>
  </si>
  <si>
    <t>ÇARPMA / VURMA</t>
  </si>
  <si>
    <t>MOTORLU NAKLİYE / ARAÇ KA</t>
  </si>
  <si>
    <t>MOTORSUZ NAKLİYE</t>
  </si>
  <si>
    <t>VİNÇ / KALDIRMA</t>
  </si>
  <si>
    <t>MAKİNE KAZASI</t>
  </si>
  <si>
    <t>ELEKTRİK KAZASI</t>
  </si>
  <si>
    <t>GAZ VEYA TOZ PATLAMASI</t>
  </si>
  <si>
    <t>YANGIN</t>
  </si>
  <si>
    <t>SU BASKINI / İNÜNDASYON</t>
  </si>
  <si>
    <t>PATLAYICI MADDE KAZASI</t>
  </si>
  <si>
    <t>ELLE TAŞIMA / ZORLANMA</t>
  </si>
  <si>
    <t>MAHSUR KALMA</t>
  </si>
  <si>
    <t>SICAK ÇALIŞMA / KAYNAK</t>
  </si>
  <si>
    <t>SAĞLIK SORUNU (İŞYERİNDE)</t>
  </si>
  <si>
    <t>BASINÇLI KAP PATLAMASI</t>
  </si>
  <si>
    <t>DİĞER NEDENLER</t>
  </si>
  <si>
    <t>SANAT</t>
  </si>
  <si>
    <t>KODU</t>
  </si>
  <si>
    <t>1: MEKANİZE KAZI OP.</t>
  </si>
  <si>
    <t>2: YÜR.TAHKİMAT SÜR.</t>
  </si>
  <si>
    <t>3: Y.A.HAZ.İŞÇİSİ</t>
  </si>
  <si>
    <t>5: Y.A.HAZ.USTASI</t>
  </si>
  <si>
    <t>7: DELİKÇİ</t>
  </si>
  <si>
    <t>8: ATEŞÇİ</t>
  </si>
  <si>
    <t>9: TAHKİMATÇI</t>
  </si>
  <si>
    <t>10: KONVEYÖR OP.</t>
  </si>
  <si>
    <t>11: ELEKTRİKÇİ</t>
  </si>
  <si>
    <t>12: TULUMBACI</t>
  </si>
  <si>
    <t>13: MAKİNİST</t>
  </si>
  <si>
    <t>14: MADEN TEKNİKERİ</t>
  </si>
  <si>
    <t>15: NEZARETÇİ</t>
  </si>
  <si>
    <t>16: İSG DESTEK EL.</t>
  </si>
  <si>
    <t>17: Y.A.TAMİR-BAKIMCI</t>
  </si>
  <si>
    <t>18: Y.A.KAYNAKÇI</t>
  </si>
  <si>
    <t>19: SÜRÜCÜ/LOKOMOTİF</t>
  </si>
  <si>
    <t>20: TOPOGRAF</t>
  </si>
  <si>
    <t>21: JEOLOJİ TEKNİSYENİ</t>
  </si>
  <si>
    <t>22: KUYU DİBİ İŞÇİSİ</t>
  </si>
  <si>
    <t>23: VİNCİ</t>
  </si>
  <si>
    <t>24: HAVALANDIRMACI</t>
  </si>
  <si>
    <t>25: TARAMA İŞÇİSİ</t>
  </si>
  <si>
    <t>26: Y.A.DİĞER</t>
  </si>
  <si>
    <t>51: DOZER OP.</t>
  </si>
  <si>
    <t>52: EKSKAVATÖR OP.</t>
  </si>
  <si>
    <t>53: İŞ MAK. OP.(DİĞER)</t>
  </si>
  <si>
    <t>54: KAMYON ŞOF.</t>
  </si>
  <si>
    <t>55: TESİS İŞÇİSİ</t>
  </si>
  <si>
    <t>56: MANEVRACIYA</t>
  </si>
  <si>
    <t>57: BEDEN İŞÇİSİ</t>
  </si>
  <si>
    <t>58: KAYNAKÇI</t>
  </si>
  <si>
    <t>59: TORNACI</t>
  </si>
  <si>
    <t>60: TESVİYECİ</t>
  </si>
  <si>
    <t>61: BORU TESİSATÇISI</t>
  </si>
  <si>
    <t>62: EL./ELEK.TEK.</t>
  </si>
  <si>
    <t>63: OTOMASYON TEK.</t>
  </si>
  <si>
    <t>64: MEKANİK</t>
  </si>
  <si>
    <t>65: KARO İŞÇİSİ</t>
  </si>
  <si>
    <t>66: İNŞAAT İŞÇİSİ</t>
  </si>
  <si>
    <t>67: MARANGOZ</t>
  </si>
  <si>
    <t>68: DEMİRCİ</t>
  </si>
  <si>
    <t>69: BOYACI</t>
  </si>
  <si>
    <t>70: DÖKÜMHANECİ</t>
  </si>
  <si>
    <t>71: LABORATUVARCI</t>
  </si>
  <si>
    <t>72: KANTAR OP.</t>
  </si>
  <si>
    <t>73: STOK MEMURU</t>
  </si>
  <si>
    <t>74: İDARİ BÜRO</t>
  </si>
  <si>
    <t>75: MUHASEBECİ</t>
  </si>
  <si>
    <t>76: BİLGİ İŞLEM</t>
  </si>
  <si>
    <t>77: İNSAN KAYNAKLARI</t>
  </si>
  <si>
    <t>78: SATIN ALMA</t>
  </si>
  <si>
    <t>79: ŞOFÖR (SERVİS)</t>
  </si>
  <si>
    <t>80: ŞOFÖR (KAMYON)</t>
  </si>
  <si>
    <t>81: AMBULANS ŞOF.</t>
  </si>
  <si>
    <t>82: İTFAİYECİ</t>
  </si>
  <si>
    <t>83: GÜVENLİK</t>
  </si>
  <si>
    <t>84: AŞCİ</t>
  </si>
  <si>
    <t>85: GARSON</t>
  </si>
  <si>
    <t>86: TEMİZLİK</t>
  </si>
  <si>
    <t>87: ÇAMAŞIRHANE</t>
  </si>
  <si>
    <t>88: BAHÇIVAN</t>
  </si>
  <si>
    <t>89: SAĞLIK PERSONELİ</t>
  </si>
  <si>
    <t>90: İSG UZMANI</t>
  </si>
  <si>
    <t>91: ÇEVRE GÖREVLİSİ</t>
  </si>
  <si>
    <t>92: EĞİTMEN</t>
  </si>
  <si>
    <t>93: PANO OP./SCADA</t>
  </si>
  <si>
    <t>94: TRAFO BAK.EL.</t>
  </si>
  <si>
    <t>95: JENERATÖR TEK.</t>
  </si>
  <si>
    <t>96: BANT BAKIMCI</t>
  </si>
  <si>
    <t>97: KİRİŞ TAMİRCİSİ</t>
  </si>
  <si>
    <t>98: LASTİKÇİ</t>
  </si>
  <si>
    <t>99: Y.Ü.NEZARETÇİ</t>
  </si>
  <si>
    <t>100: Y.Ü.TEKNİKER</t>
  </si>
  <si>
    <t>101: Y.Ü.MÜHENDİS</t>
  </si>
  <si>
    <t>102: HAR.KADASTROCU</t>
  </si>
  <si>
    <t>103: VERİ GİRİŞ OP.</t>
  </si>
  <si>
    <t>104: DEPOCU</t>
  </si>
  <si>
    <t>105: Y.Ü.DİĞER</t>
  </si>
  <si>
    <t>GENEL TOPLAM</t>
  </si>
  <si>
    <t>MEKANİZE KAZI O</t>
  </si>
  <si>
    <t>YÜR.TAHKİMAT SÜ</t>
  </si>
  <si>
    <t>Y.A.HAZ.İŞÇİSİ</t>
  </si>
  <si>
    <t>Y.A.HAZ.İŞÇ.YED</t>
  </si>
  <si>
    <t>Y.A.HAZ.USTASI</t>
  </si>
  <si>
    <t>Y.A.MAD.HAZ.ELE</t>
  </si>
  <si>
    <t>DELİKÇİ</t>
  </si>
  <si>
    <t>ATEŞÇİ</t>
  </si>
  <si>
    <t>TAHKİMATÇI</t>
  </si>
  <si>
    <t>KONVEYÖR OP.</t>
  </si>
  <si>
    <t>ELEKTRİKÇİ</t>
  </si>
  <si>
    <t>TULUMBACI</t>
  </si>
  <si>
    <t>MAKİNİST</t>
  </si>
  <si>
    <t>MADEN TEKNİKERİ</t>
  </si>
  <si>
    <t>NEZARETÇİ</t>
  </si>
  <si>
    <t>İSG DESTEK EL.</t>
  </si>
  <si>
    <t>Y.A.TAMİR-BAKIM</t>
  </si>
  <si>
    <t>Y.A.KAYNAKÇI</t>
  </si>
  <si>
    <t>SÜRÜCÜ/LOKOMOTİ</t>
  </si>
  <si>
    <t>TOPOGRAF</t>
  </si>
  <si>
    <t>JEOLOJİ TEKNİSY</t>
  </si>
  <si>
    <t>KUYU DİBİ İŞÇİS</t>
  </si>
  <si>
    <t>VİNCİ</t>
  </si>
  <si>
    <t>HAVALANDIRMACI</t>
  </si>
  <si>
    <t>TARAMA İŞÇİSİ</t>
  </si>
  <si>
    <t>Y.A.DİĞER</t>
  </si>
  <si>
    <t>DOZER OP.</t>
  </si>
  <si>
    <t>EKSKAVATÖR OP.</t>
  </si>
  <si>
    <t>İŞ MAK. OP.(DİĞ</t>
  </si>
  <si>
    <t>KAMYON ŞOF.</t>
  </si>
  <si>
    <t>TESİS İŞÇİSİ</t>
  </si>
  <si>
    <t>MANEVRACIYA</t>
  </si>
  <si>
    <t>BEDEN İŞÇİSİ</t>
  </si>
  <si>
    <t>KAYNAKÇI</t>
  </si>
  <si>
    <t>TORNACI</t>
  </si>
  <si>
    <t>TESVİYECİ</t>
  </si>
  <si>
    <t>BORU TESİSATÇIS</t>
  </si>
  <si>
    <t>EL./ELEK.TEK.</t>
  </si>
  <si>
    <t>OTOMASYON TEK.</t>
  </si>
  <si>
    <t>MEKANİK</t>
  </si>
  <si>
    <t>KARO İŞÇİSİ</t>
  </si>
  <si>
    <t>İNŞAAT İŞÇİSİ</t>
  </si>
  <si>
    <t>MARANGOZ</t>
  </si>
  <si>
    <t>DEMİRCİ</t>
  </si>
  <si>
    <t>BOYACI</t>
  </si>
  <si>
    <t>DÖKÜMHANECİ</t>
  </si>
  <si>
    <t>LABORATUVARCI</t>
  </si>
  <si>
    <t>KANTAR OP.</t>
  </si>
  <si>
    <t>STOK MEMURU</t>
  </si>
  <si>
    <t>İDARİ BÜRO</t>
  </si>
  <si>
    <t>MUHASEBECİ</t>
  </si>
  <si>
    <t>BİLGİ İŞLEM</t>
  </si>
  <si>
    <t>İNSAN KAYNAKLAR</t>
  </si>
  <si>
    <t>SATIN ALMA</t>
  </si>
  <si>
    <t>ŞOFÖR (SERVİS)</t>
  </si>
  <si>
    <t>ŞOFÖR (KAMYON)</t>
  </si>
  <si>
    <t>AMBULANS ŞOF.</t>
  </si>
  <si>
    <t>İTFAİYECİ</t>
  </si>
  <si>
    <t>GÜVENLİK</t>
  </si>
  <si>
    <t>AŞCİ</t>
  </si>
  <si>
    <t>GARSON</t>
  </si>
  <si>
    <t>TEMİZLİK</t>
  </si>
  <si>
    <t>ÇAMAŞIRHANE</t>
  </si>
  <si>
    <t>BAHÇIVAN</t>
  </si>
  <si>
    <t>SAĞLIK PERSONEL</t>
  </si>
  <si>
    <t>İSG UZMANI</t>
  </si>
  <si>
    <t>ÇEVRE GÖREVLİSİ</t>
  </si>
  <si>
    <t>EĞİTMEN</t>
  </si>
  <si>
    <t>PANO OP./SCADA</t>
  </si>
  <si>
    <t>TRAFO BAK.EL.</t>
  </si>
  <si>
    <t>JENERATÖR TEK.</t>
  </si>
  <si>
    <t>BANT BAKIMCI</t>
  </si>
  <si>
    <t>KİRİŞ TAMİRCİSİ</t>
  </si>
  <si>
    <t>LASTİKÇİ</t>
  </si>
  <si>
    <t>Y.Ü.NEZARETÇİ</t>
  </si>
  <si>
    <t>Y.Ü.TEKNİKER</t>
  </si>
  <si>
    <t>Y.Ü.MÜHENDİS</t>
  </si>
  <si>
    <t>HAR.KADASTROCU</t>
  </si>
  <si>
    <t>VERİ GİRİŞ OP.</t>
  </si>
  <si>
    <t>DEPOCU</t>
  </si>
  <si>
    <t>Y.Ü.DİĞER</t>
  </si>
  <si>
    <t>YA TOP</t>
  </si>
  <si>
    <t>YÜ TOP</t>
  </si>
  <si>
    <t>BAŞ</t>
  </si>
  <si>
    <t>Kafa</t>
  </si>
  <si>
    <t>Göz</t>
  </si>
  <si>
    <t>Kulak</t>
  </si>
  <si>
    <t>Burun</t>
  </si>
  <si>
    <t>Yüz</t>
  </si>
  <si>
    <t>BOYUN</t>
  </si>
  <si>
    <t>KOL</t>
  </si>
  <si>
    <t>Omuz</t>
  </si>
  <si>
    <t>Üst Kol</t>
  </si>
  <si>
    <t>Dirsek</t>
  </si>
  <si>
    <t>Ön Kol</t>
  </si>
  <si>
    <t>El Bileği</t>
  </si>
  <si>
    <t>EL</t>
  </si>
  <si>
    <t>Parmaklar</t>
  </si>
  <si>
    <t>BACAK</t>
  </si>
  <si>
    <t>Kalça</t>
  </si>
  <si>
    <t>Diz</t>
  </si>
  <si>
    <t>Alt Bacak</t>
  </si>
  <si>
    <t>Ayak Bileği</t>
  </si>
  <si>
    <t>AYAK</t>
  </si>
  <si>
    <t>GÖVDE</t>
  </si>
  <si>
    <t>Göğüs</t>
  </si>
  <si>
    <t>Sırt</t>
  </si>
  <si>
    <t>Bel</t>
  </si>
  <si>
    <t>Karın</t>
  </si>
  <si>
    <t>Pelvis</t>
  </si>
  <si>
    <t>OMURGA</t>
  </si>
  <si>
    <t>İÇ ORGANLAR</t>
  </si>
  <si>
    <t>MUHTELİF</t>
  </si>
  <si>
    <t>TÜM VÜCUT</t>
  </si>
  <si>
    <t>DİĞER</t>
  </si>
  <si>
    <t>TOP.YARALI</t>
  </si>
  <si>
    <t>TOP.KAZALI</t>
  </si>
  <si>
    <t>MOTORLU NAKLİYE</t>
  </si>
  <si>
    <t>GAZ/TOZ PATLAMASI</t>
  </si>
  <si>
    <t>SU BASKINI</t>
  </si>
  <si>
    <t>PATLAYICI MADDE</t>
  </si>
  <si>
    <t>ELLE TAŞIMA/ZORLANMA</t>
  </si>
  <si>
    <t>SICAK ÇALIŞMA/KAYNAK</t>
  </si>
  <si>
    <t>SAĞLIK SORUNU</t>
  </si>
  <si>
    <t>BASINÇLI KAP PATL.</t>
  </si>
  <si>
    <t>ELLE TAŞIMA DETAY (14)</t>
  </si>
  <si>
    <t>ALT KATEGORİ</t>
  </si>
  <si>
    <t>MEKANİZE KAZ</t>
  </si>
  <si>
    <t>YÜR.TAHKİMAT</t>
  </si>
  <si>
    <t>Y.A.HAZ.İŞÇİ</t>
  </si>
  <si>
    <t>Y.A.HAZ.İŞÇ.</t>
  </si>
  <si>
    <t>Y.A.HAZ.USTA</t>
  </si>
  <si>
    <t>Y.A.MAD.HAZ.</t>
  </si>
  <si>
    <t>MADEN TEKNİK</t>
  </si>
  <si>
    <t>İSG DESTEK E</t>
  </si>
  <si>
    <t>Y.A.TAMİR-BA</t>
  </si>
  <si>
    <t>SÜRÜCÜ/LOKOM</t>
  </si>
  <si>
    <t>JEOLOJİ TEKN</t>
  </si>
  <si>
    <t>KUYU DİBİ İŞ</t>
  </si>
  <si>
    <t>HAVALANDIRMA</t>
  </si>
  <si>
    <t>TARAMA İŞÇİS</t>
  </si>
  <si>
    <t>EKSKAVATÖR O</t>
  </si>
  <si>
    <t>İŞ MAK. OP.(</t>
  </si>
  <si>
    <t>BORU TESİSAT</t>
  </si>
  <si>
    <t>EL./ELEK.TEK</t>
  </si>
  <si>
    <t>OTOMASYON TE</t>
  </si>
  <si>
    <t>İNŞAAT İŞÇİS</t>
  </si>
  <si>
    <t>LABORATUVARC</t>
  </si>
  <si>
    <t>İNSAN KAYNAK</t>
  </si>
  <si>
    <t>ŞOFÖR (SERVİ</t>
  </si>
  <si>
    <t>ŞOFÖR (KAMYO</t>
  </si>
  <si>
    <t>AMBULANS ŞOF</t>
  </si>
  <si>
    <t>SAĞLIK PERSO</t>
  </si>
  <si>
    <t>ÇEVRE GÖREVL</t>
  </si>
  <si>
    <t>PANO OP./SCA</t>
  </si>
  <si>
    <t>TRAFO BAK.EL</t>
  </si>
  <si>
    <t>JENERATÖR TE</t>
  </si>
  <si>
    <t>KİRİŞ TAMİRC</t>
  </si>
  <si>
    <t>Y.Ü.NEZARETÇ</t>
  </si>
  <si>
    <t>HAR.KADASTRO</t>
  </si>
  <si>
    <t>VERİ GİRİŞ O</t>
  </si>
  <si>
    <t>Bel incitmesi/Zorlanma</t>
  </si>
  <si>
    <t>Kas/Eklem zorlanması</t>
  </si>
  <si>
    <t>İtme/Çekme zorlanması</t>
  </si>
  <si>
    <t>Tekrarlayan hareket yaralanmas</t>
  </si>
  <si>
    <t>GÖÇÜK DETAY (01)</t>
  </si>
  <si>
    <t>Yan duvar (kanat) düşmesi</t>
  </si>
  <si>
    <t>Bağ atımı sırasında malzeme dü</t>
  </si>
  <si>
    <t xml:space="preserve">Kazı/Tarama sırasında malzeme </t>
  </si>
  <si>
    <t>DÜŞME DETAY (03)</t>
  </si>
  <si>
    <t>Kayarak düşme (aynı seviye)</t>
  </si>
  <si>
    <t>Yüksekten düşme</t>
  </si>
  <si>
    <t>Boşluğa/Kanala düşme</t>
  </si>
  <si>
    <t>Araçtan/ekipmandan düşme</t>
  </si>
  <si>
    <t>Merdiven/İskele düşmesi</t>
  </si>
  <si>
    <t>Kuyu/Eğimli kuyu içi düşme</t>
  </si>
  <si>
    <t>Tökezleme/Takılma</t>
  </si>
  <si>
    <t>UZUV</t>
  </si>
  <si>
    <t>ORT</t>
  </si>
  <si>
    <t>Kafa/Kafatası</t>
  </si>
  <si>
    <t>Yüz/Çene/Alın</t>
  </si>
  <si>
    <t>Omuz/Kürek Kemiği</t>
  </si>
  <si>
    <t>Kalça/Uyluk</t>
  </si>
  <si>
    <t>Alt Bacak/Baldır</t>
  </si>
  <si>
    <t>Göğüs/Kaburgalar</t>
  </si>
  <si>
    <t>Karın/Böbrek</t>
  </si>
  <si>
    <t>Pelvis/Leğen K.</t>
  </si>
  <si>
    <t>OMURGA/DİSK</t>
  </si>
  <si>
    <t>KOD</t>
  </si>
  <si>
    <t>AÇIKLAMA</t>
  </si>
  <si>
    <t>TİP</t>
  </si>
  <si>
    <t>SANAT KODLARI</t>
  </si>
  <si>
    <t>MEKANİZE KAZI OP.</t>
  </si>
  <si>
    <t>YA</t>
  </si>
  <si>
    <t>YÜR.TAHKİMAT SÜR.</t>
  </si>
  <si>
    <t>Y.A.HAZ.İŞÇ.YEDEK</t>
  </si>
  <si>
    <t>Y.A.MAD.HAZ.ELEM.</t>
  </si>
  <si>
    <t>Y.A.TAMİR-BAKIMCI</t>
  </si>
  <si>
    <t>SÜRÜCÜ/LOKOMOTİF</t>
  </si>
  <si>
    <t>JEOLOJİ TEKNİSYENİ</t>
  </si>
  <si>
    <t>KUYU DİBİ İŞÇİSİ</t>
  </si>
  <si>
    <t>1410: Bel incitmesi/sırt incinmesi/zorlanma - Disk</t>
  </si>
  <si>
    <t>Ağır yük kaldırma, bel ağrısı, disk kayması, çalışırken belini/sırtını  incitme</t>
  </si>
  <si>
    <t>ÇLİ - 2024</t>
  </si>
  <si>
    <t>METİN</t>
  </si>
  <si>
    <t>TURAN</t>
  </si>
  <si>
    <t>14.05.1973</t>
  </si>
  <si>
    <t>14.06.2025</t>
  </si>
  <si>
    <t>NAİM</t>
  </si>
  <si>
    <t>ÇAKAR</t>
  </si>
  <si>
    <t>01.05.1978</t>
  </si>
  <si>
    <t>ERDOĞAN</t>
  </si>
  <si>
    <t>DEMİRTAŞ</t>
  </si>
  <si>
    <t>08.02.1977</t>
  </si>
  <si>
    <t>20.06.2025</t>
  </si>
  <si>
    <t>SALİH</t>
  </si>
  <si>
    <t>YILDIZ</t>
  </si>
  <si>
    <t>02.01.1978</t>
  </si>
  <si>
    <t>27.06.2025</t>
  </si>
  <si>
    <t>FERDİ</t>
  </si>
  <si>
    <t>UZUN</t>
  </si>
  <si>
    <t>16.02.1999</t>
  </si>
  <si>
    <t>21.07.2025</t>
  </si>
  <si>
    <t>RECEP</t>
  </si>
  <si>
    <t>VARDAR</t>
  </si>
  <si>
    <t>26.05.1982</t>
  </si>
  <si>
    <t>24.10.2025</t>
  </si>
  <si>
    <t>EMRE</t>
  </si>
  <si>
    <t>ENGİN</t>
  </si>
  <si>
    <t>19.07.1991</t>
  </si>
  <si>
    <t>25.11.2025</t>
  </si>
  <si>
    <t>HASAN NİHAT</t>
  </si>
  <si>
    <t>GEZER</t>
  </si>
  <si>
    <t>27.10.1981</t>
  </si>
  <si>
    <t>01.12.2025</t>
  </si>
  <si>
    <t>Toplanma yerinde dinlenme esnasında dudağında meydana gelen kanama.</t>
  </si>
  <si>
    <t>Ekskavatör hidrolik pistonunu sökerken, basınçlı yağın kola vurması sonucunda sol kolda şişme.</t>
  </si>
  <si>
    <t>Sulama tankerinden inerken ayağını kırma.</t>
  </si>
  <si>
    <t>PC1100 Ekskavatör turbo bölümünde yangın çıkması, operatörde fiziki yaralanma yoktur.</t>
  </si>
  <si>
    <t>İşletme Müdürlüğümüz önündeki bankta otururken dengesini kaybederek sırt üstü düşmesİ.</t>
  </si>
  <si>
    <t>904 kapı nolu ekskavatörden inerken ayağını burkma</t>
  </si>
  <si>
    <t>Takozun üzerindeki İş makinesi pistonunun takoz üzerinden sıyrılarak ayak üzerine düşmesi</t>
  </si>
  <si>
    <t>Elektrik atölyesi giriş kapısının köşebendine takılmas ısonucu sağ kolunda 3-5 cm kesik oluşması</t>
  </si>
  <si>
    <t>ERHAN</t>
  </si>
  <si>
    <t>ÇİÇEK</t>
  </si>
  <si>
    <t>904 kapı numaralı PC 400 ekskavatörün; çalışma esnasmda motor kısmından alev yükselmesi</t>
  </si>
  <si>
    <t xml:space="preserve">0430: Tel/çapak/kıymık batması </t>
  </si>
  <si>
    <t>Hasır tel, çapak sıçraması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</si>
</sst>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h:mm"/>
    <numFmt numFmtId="165" formatCode="[$-409]d\-mmm"/>
    <numFmt numFmtId="166" formatCode="0;[Red]0"/>
    <numFmt numFmtId="167" formatCode="hh:mm;@"/>
    <numFmt numFmtId="168" formatCode="0.000"/>
    <numFmt numFmtId="169" formatCode="[$-409]m/d/yyyy"/>
    <numFmt numFmtId="170" formatCode="[$-F400]h:mm:ss\ AM/PM"/>
    <numFmt numFmtId="171" formatCode="0.0"/>
  </numFmts>
  <fonts count="45" x14ac:knownFonts="1">
    <font>
      <sz val="10"/>
      <name val="Arial"/>
      <charset val="1"/>
    </font>
    <font>
      <sz val="10"/>
      <name val="Arial"/>
      <family val="2"/>
      <charset val="162"/>
    </font>
    <font>
      <sz val="11"/>
      <color rgb="FF000000"/>
      <name val="Calibri"/>
      <family val="2"/>
      <charset val="162"/>
    </font>
    <font>
      <b/>
      <sz val="9"/>
      <color rgb="FFFFFFFF"/>
      <name val="Calibri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62"/>
    </font>
    <font>
      <b/>
      <sz val="10"/>
      <name val="Arial"/>
      <family val="2"/>
      <charset val="162"/>
    </font>
    <font>
      <sz val="10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9"/>
      <color rgb="FFFFFFFF"/>
      <name val="Arial"/>
      <family val="2"/>
      <charset val="1"/>
    </font>
    <font>
      <b/>
      <sz val="10"/>
      <color rgb="FFFFFFFF"/>
      <name val="Calibri"/>
      <family val="2"/>
      <charset val="1"/>
    </font>
    <font>
      <sz val="8"/>
      <color rgb="FF333333"/>
      <name val="Arial"/>
      <family val="2"/>
      <charset val="1"/>
    </font>
    <font>
      <b/>
      <sz val="8"/>
      <color rgb="FF1E3A5F"/>
      <name val="Arial"/>
      <family val="2"/>
      <charset val="1"/>
    </font>
    <font>
      <b/>
      <sz val="8"/>
      <color rgb="FF1B3A5C"/>
      <name val="Calibri"/>
      <family val="2"/>
      <charset val="1"/>
    </font>
    <font>
      <sz val="8"/>
      <color rgb="FF333333"/>
      <name val="Calibri"/>
      <family val="2"/>
      <charset val="1"/>
    </font>
    <font>
      <b/>
      <sz val="9"/>
      <color rgb="FF2D6A4F"/>
      <name val="Calibri"/>
      <family val="2"/>
      <charset val="1"/>
    </font>
    <font>
      <b/>
      <sz val="9"/>
      <color rgb="FF1E3A5F"/>
      <name val="Calibri"/>
      <family val="2"/>
      <charset val="1"/>
    </font>
    <font>
      <sz val="8"/>
      <color rgb="FF555555"/>
      <name val="Calibri"/>
      <family val="2"/>
      <charset val="1"/>
    </font>
    <font>
      <b/>
      <sz val="9"/>
      <color rgb="FFB91C1C"/>
      <name val="Calibri"/>
      <family val="2"/>
      <charset val="1"/>
    </font>
    <font>
      <sz val="10"/>
      <color rgb="FFFF0000"/>
      <name val="Arial"/>
      <family val="2"/>
      <charset val="1"/>
    </font>
    <font>
      <b/>
      <sz val="10"/>
      <color rgb="FFB91C1C"/>
      <name val="Calibri"/>
      <family val="2"/>
      <charset val="1"/>
    </font>
    <font>
      <b/>
      <sz val="9"/>
      <color rgb="FFB91C1C"/>
      <name val="Arial"/>
      <family val="2"/>
      <charset val="1"/>
    </font>
    <font>
      <b/>
      <sz val="8"/>
      <color rgb="FF555555"/>
      <name val="Calibri"/>
      <family val="2"/>
      <charset val="1"/>
    </font>
    <font>
      <sz val="7"/>
      <color rgb="FF555555"/>
      <name val="Calibri"/>
      <family val="2"/>
      <charset val="1"/>
    </font>
    <font>
      <sz val="8"/>
      <color rgb="FF16A34A"/>
      <name val="Calibri"/>
      <family val="2"/>
      <charset val="1"/>
    </font>
    <font>
      <b/>
      <sz val="9"/>
      <color rgb="FF2E6DA4"/>
      <name val="Calibri"/>
      <family val="2"/>
      <charset val="1"/>
    </font>
    <font>
      <b/>
      <sz val="9"/>
      <color rgb="FF16A34A"/>
      <name val="Calibri"/>
      <family val="2"/>
      <charset val="1"/>
    </font>
    <font>
      <sz val="16"/>
      <name val="Arial"/>
      <family val="2"/>
      <charset val="1"/>
    </font>
    <font>
      <sz val="12"/>
      <name val="Arial"/>
      <family val="2"/>
      <charset val="1"/>
    </font>
    <font>
      <b/>
      <sz val="14"/>
      <color rgb="FF2E6DA4"/>
      <name val="Calibri"/>
      <family val="2"/>
      <charset val="1"/>
    </font>
    <font>
      <b/>
      <sz val="11"/>
      <color rgb="FF2E6DA4"/>
      <name val="Calibri"/>
      <family val="2"/>
      <charset val="1"/>
    </font>
    <font>
      <b/>
      <sz val="10"/>
      <color rgb="FF555555"/>
      <name val="Calibri"/>
      <family val="2"/>
      <charset val="1"/>
    </font>
    <font>
      <sz val="8"/>
      <name val="Arial"/>
      <family val="2"/>
      <charset val="1"/>
    </font>
    <font>
      <sz val="8"/>
      <name val="Arial"/>
      <family val="2"/>
      <charset val="162"/>
    </font>
    <font>
      <i/>
      <sz val="7"/>
      <color rgb="FF666666"/>
      <name val="Calibri"/>
      <family val="2"/>
      <charset val="1"/>
    </font>
    <font>
      <sz val="7"/>
      <color rgb="FF333333"/>
      <name val="Calibri"/>
      <family val="2"/>
      <charset val="1"/>
    </font>
    <font>
      <b/>
      <sz val="8"/>
      <color rgb="FFFFFFFF"/>
      <name val="Calibri"/>
      <family val="2"/>
      <charset val="1"/>
    </font>
    <font>
      <b/>
      <sz val="8"/>
      <color rgb="FFB91C1C"/>
      <name val="Calibri"/>
      <family val="2"/>
      <charset val="1"/>
    </font>
    <font>
      <i/>
      <sz val="10"/>
      <name val="Arial"/>
      <family val="2"/>
      <charset val="1"/>
    </font>
    <font>
      <sz val="10"/>
      <name val="Calibri"/>
      <family val="2"/>
      <charset val="1"/>
    </font>
    <font>
      <sz val="8"/>
      <name val="Calibri"/>
      <family val="2"/>
      <charset val="1"/>
    </font>
    <font>
      <b/>
      <sz val="10"/>
      <color rgb="FF2E6DA4"/>
      <name val="Calibri"/>
      <family val="2"/>
      <charset val="1"/>
    </font>
    <font>
      <i/>
      <sz val="8"/>
      <name val="Arial"/>
      <family val="2"/>
      <charset val="162"/>
    </font>
    <font>
      <i/>
      <sz val="8"/>
      <color rgb="FF16A34A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2E6DA4"/>
        <bgColor rgb="FF2D6A4F"/>
      </patternFill>
    </fill>
    <fill>
      <patternFill patternType="solid">
        <fgColor rgb="FF40916C"/>
        <bgColor rgb="FF16A34A"/>
      </patternFill>
    </fill>
    <fill>
      <patternFill patternType="solid">
        <fgColor rgb="FFB45309"/>
        <bgColor rgb="FF993366"/>
      </patternFill>
    </fill>
    <fill>
      <patternFill patternType="solid">
        <fgColor rgb="FFEFF6FF"/>
        <bgColor rgb="FFF8FAFC"/>
      </patternFill>
    </fill>
    <fill>
      <patternFill patternType="solid">
        <fgColor rgb="FFDBEAFE"/>
        <bgColor rgb="FFEFF6FF"/>
      </patternFill>
    </fill>
    <fill>
      <patternFill patternType="solid">
        <fgColor theme="0"/>
        <bgColor rgb="FFF8FAFC"/>
      </patternFill>
    </fill>
    <fill>
      <patternFill patternType="solid">
        <fgColor rgb="FFF8FAFC"/>
        <bgColor rgb="FFFFFFFF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0000FF"/>
      </left>
      <right/>
      <top/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2" fillId="0" borderId="0"/>
  </cellStyleXfs>
  <cellXfs count="164">
    <xf numFmtId="0" fontId="0" fillId="0" borderId="0" xfId="0"/>
    <xf numFmtId="0" fontId="16" fillId="5" borderId="1" xfId="0" applyFont="1" applyFill="1" applyBorder="1" applyAlignment="1">
      <alignment horizontal="left" vertic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66" fontId="4" fillId="0" borderId="2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66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vertical="center"/>
    </xf>
    <xf numFmtId="0" fontId="7" fillId="0" borderId="3" xfId="0" applyFont="1" applyBorder="1"/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3" xfId="0" applyFont="1" applyBorder="1"/>
    <xf numFmtId="0" fontId="0" fillId="0" borderId="3" xfId="0" applyBorder="1"/>
    <xf numFmtId="0" fontId="8" fillId="0" borderId="3" xfId="0" applyFont="1" applyBorder="1"/>
    <xf numFmtId="166" fontId="0" fillId="0" borderId="3" xfId="0" applyNumberFormat="1" applyBorder="1" applyAlignment="1">
      <alignment horizontal="center"/>
    </xf>
    <xf numFmtId="0" fontId="9" fillId="0" borderId="0" xfId="0" applyFont="1"/>
    <xf numFmtId="1" fontId="0" fillId="0" borderId="0" xfId="0" applyNumberFormat="1"/>
    <xf numFmtId="1" fontId="9" fillId="0" borderId="0" xfId="0" applyNumberFormat="1" applyFont="1"/>
    <xf numFmtId="165" fontId="9" fillId="0" borderId="0" xfId="0" applyNumberFormat="1" applyFont="1"/>
    <xf numFmtId="165" fontId="1" fillId="0" borderId="0" xfId="0" applyNumberFormat="1" applyFont="1"/>
    <xf numFmtId="167" fontId="0" fillId="0" borderId="0" xfId="0" applyNumberFormat="1" applyAlignment="1">
      <alignment horizontal="center"/>
    </xf>
    <xf numFmtId="0" fontId="1" fillId="0" borderId="0" xfId="0" applyFont="1" applyAlignment="1">
      <alignment wrapText="1"/>
    </xf>
    <xf numFmtId="166" fontId="0" fillId="0" borderId="0" xfId="0" applyNumberFormat="1" applyAlignment="1">
      <alignment horizontal="left"/>
    </xf>
    <xf numFmtId="167" fontId="1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8" fontId="0" fillId="0" borderId="0" xfId="0" applyNumberFormat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167" fontId="10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left" vertical="center" wrapText="1"/>
    </xf>
    <xf numFmtId="1" fontId="20" fillId="0" borderId="0" xfId="0" applyNumberFormat="1" applyFont="1"/>
    <xf numFmtId="0" fontId="0" fillId="0" borderId="4" xfId="0" applyBorder="1"/>
    <xf numFmtId="169" fontId="5" fillId="0" borderId="0" xfId="0" applyNumberFormat="1" applyFont="1"/>
    <xf numFmtId="0" fontId="0" fillId="0" borderId="5" xfId="0" applyBorder="1"/>
    <xf numFmtId="164" fontId="18" fillId="0" borderId="1" xfId="0" applyNumberFormat="1" applyFont="1" applyBorder="1" applyAlignment="1">
      <alignment horizontal="left"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center" vertical="center" wrapText="1"/>
    </xf>
    <xf numFmtId="170" fontId="13" fillId="0" borderId="1" xfId="0" applyNumberFormat="1" applyFont="1" applyBorder="1" applyAlignment="1">
      <alignment horizontal="left" vertical="center" wrapText="1"/>
    </xf>
    <xf numFmtId="170" fontId="22" fillId="6" borderId="1" xfId="0" applyNumberFormat="1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46" fontId="18" fillId="0" borderId="1" xfId="0" applyNumberFormat="1" applyFont="1" applyBorder="1" applyAlignment="1">
      <alignment horizontal="left" vertical="center" wrapText="1"/>
    </xf>
    <xf numFmtId="170" fontId="22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70" fontId="0" fillId="0" borderId="0" xfId="0" applyNumberFormat="1"/>
    <xf numFmtId="170" fontId="11" fillId="2" borderId="1" xfId="0" applyNumberFormat="1" applyFont="1" applyFill="1" applyBorder="1" applyAlignment="1">
      <alignment horizontal="left" vertical="center" wrapText="1"/>
    </xf>
    <xf numFmtId="170" fontId="23" fillId="0" borderId="1" xfId="0" applyNumberFormat="1" applyFont="1" applyBorder="1" applyAlignment="1">
      <alignment horizontal="left" vertical="center" wrapText="1"/>
    </xf>
    <xf numFmtId="170" fontId="24" fillId="0" borderId="1" xfId="0" applyNumberFormat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1" fillId="0" borderId="6" xfId="0" applyFont="1" applyBorder="1"/>
    <xf numFmtId="0" fontId="23" fillId="0" borderId="1" xfId="0" applyFont="1" applyBorder="1" applyAlignment="1">
      <alignment horizontal="left" vertical="center" wrapText="1"/>
    </xf>
    <xf numFmtId="0" fontId="18" fillId="6" borderId="1" xfId="0" applyFont="1" applyFill="1" applyBorder="1" applyAlignment="1">
      <alignment horizontal="center" vertical="center" wrapText="1"/>
    </xf>
    <xf numFmtId="12" fontId="0" fillId="0" borderId="0" xfId="0" applyNumberFormat="1"/>
    <xf numFmtId="0" fontId="0" fillId="0" borderId="7" xfId="0" applyBorder="1"/>
    <xf numFmtId="0" fontId="4" fillId="0" borderId="0" xfId="0" applyFont="1"/>
    <xf numFmtId="0" fontId="25" fillId="0" borderId="8" xfId="0" applyFont="1" applyBorder="1"/>
    <xf numFmtId="0" fontId="18" fillId="0" borderId="0" xfId="0" applyFont="1"/>
    <xf numFmtId="0" fontId="26" fillId="0" borderId="0" xfId="0" applyFont="1" applyAlignment="1">
      <alignment horizontal="center"/>
    </xf>
    <xf numFmtId="0" fontId="27" fillId="0" borderId="9" xfId="0" applyFont="1" applyBorder="1" applyAlignment="1">
      <alignment horizontal="left"/>
    </xf>
    <xf numFmtId="0" fontId="28" fillId="0" borderId="0" xfId="0" applyFont="1"/>
    <xf numFmtId="0" fontId="29" fillId="0" borderId="0" xfId="0" applyFont="1"/>
    <xf numFmtId="0" fontId="5" fillId="0" borderId="8" xfId="0" applyFont="1" applyBorder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71" fontId="18" fillId="0" borderId="0" xfId="0" applyNumberFormat="1" applyFont="1" applyAlignment="1">
      <alignment horizontal="center" vertical="center" wrapText="1"/>
    </xf>
    <xf numFmtId="17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wrapText="1"/>
    </xf>
    <xf numFmtId="2" fontId="18" fillId="0" borderId="0" xfId="0" applyNumberFormat="1" applyFont="1" applyAlignment="1">
      <alignment horizontal="center" vertical="center" wrapText="1"/>
    </xf>
    <xf numFmtId="168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18" fillId="0" borderId="0" xfId="0" applyNumberFormat="1" applyFont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171" fontId="35" fillId="0" borderId="1" xfId="0" applyNumberFormat="1" applyFont="1" applyBorder="1" applyAlignment="1">
      <alignment horizontal="center" vertical="center" wrapText="1"/>
    </xf>
    <xf numFmtId="171" fontId="16" fillId="5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36" fillId="0" borderId="1" xfId="0" applyFont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left" vertical="center" wrapText="1"/>
    </xf>
    <xf numFmtId="0" fontId="38" fillId="6" borderId="1" xfId="0" applyFont="1" applyFill="1" applyBorder="1" applyAlignment="1">
      <alignment horizontal="center" vertical="center" wrapText="1"/>
    </xf>
    <xf numFmtId="0" fontId="36" fillId="8" borderId="1" xfId="0" applyFont="1" applyFill="1" applyBorder="1" applyAlignment="1">
      <alignment horizontal="left" vertical="center" wrapText="1"/>
    </xf>
    <xf numFmtId="0" fontId="36" fillId="8" borderId="1" xfId="0" applyFont="1" applyFill="1" applyBorder="1" applyAlignment="1">
      <alignment horizontal="center" vertical="center" wrapText="1"/>
    </xf>
    <xf numFmtId="1" fontId="36" fillId="8" borderId="1" xfId="0" applyNumberFormat="1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left" vertical="center" wrapText="1"/>
    </xf>
    <xf numFmtId="0" fontId="39" fillId="0" borderId="0" xfId="0" applyFont="1"/>
    <xf numFmtId="1" fontId="36" fillId="0" borderId="1" xfId="0" applyNumberFormat="1" applyFont="1" applyBorder="1" applyAlignment="1">
      <alignment horizontal="center" vertical="center" wrapText="1"/>
    </xf>
    <xf numFmtId="1" fontId="37" fillId="4" borderId="1" xfId="0" applyNumberFormat="1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0" fillId="0" borderId="0" xfId="0" applyFont="1"/>
    <xf numFmtId="0" fontId="41" fillId="0" borderId="0" xfId="0" applyFont="1"/>
    <xf numFmtId="0" fontId="41" fillId="0" borderId="0" xfId="0" applyFont="1" applyAlignment="1">
      <alignment horizontal="center"/>
    </xf>
    <xf numFmtId="171" fontId="18" fillId="0" borderId="1" xfId="0" applyNumberFormat="1" applyFont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center" vertical="center" wrapText="1"/>
    </xf>
    <xf numFmtId="171" fontId="18" fillId="8" borderId="1" xfId="0" applyNumberFormat="1" applyFont="1" applyFill="1" applyBorder="1" applyAlignment="1">
      <alignment horizontal="center" vertical="center" wrapText="1"/>
    </xf>
    <xf numFmtId="1" fontId="18" fillId="8" borderId="1" xfId="0" applyNumberFormat="1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1" fontId="5" fillId="0" borderId="0" xfId="0" applyNumberFormat="1" applyFont="1"/>
    <xf numFmtId="0" fontId="37" fillId="2" borderId="1" xfId="0" applyFont="1" applyFill="1" applyBorder="1" applyAlignment="1">
      <alignment horizontal="left" vertical="center" wrapText="1"/>
    </xf>
    <xf numFmtId="1" fontId="38" fillId="6" borderId="1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1" fontId="43" fillId="0" borderId="0" xfId="0" applyNumberFormat="1" applyFont="1"/>
    <xf numFmtId="1" fontId="39" fillId="0" borderId="0" xfId="0" applyNumberFormat="1" applyFont="1"/>
    <xf numFmtId="171" fontId="35" fillId="6" borderId="1" xfId="0" applyNumberFormat="1" applyFont="1" applyFill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left" vertical="center" wrapText="1"/>
    </xf>
    <xf numFmtId="1" fontId="21" fillId="6" borderId="1" xfId="0" applyNumberFormat="1" applyFont="1" applyFill="1" applyBorder="1" applyAlignment="1">
      <alignment horizontal="left" vertical="center" wrapText="1"/>
    </xf>
    <xf numFmtId="171" fontId="21" fillId="6" borderId="1" xfId="0" applyNumberFormat="1" applyFont="1" applyFill="1" applyBorder="1" applyAlignment="1">
      <alignment horizontal="center" vertical="center" wrapText="1"/>
    </xf>
    <xf numFmtId="1" fontId="44" fillId="0" borderId="0" xfId="0" applyNumberFormat="1" applyFont="1" applyAlignment="1">
      <alignment horizontal="center"/>
    </xf>
    <xf numFmtId="171" fontId="35" fillId="0" borderId="0" xfId="0" applyNumberFormat="1" applyFont="1" applyAlignment="1">
      <alignment horizontal="center"/>
    </xf>
    <xf numFmtId="0" fontId="16" fillId="5" borderId="0" xfId="0" applyFont="1" applyFill="1"/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4" fontId="3" fillId="2" borderId="1" xfId="0" applyNumberFormat="1" applyFont="1" applyFill="1" applyBorder="1" applyAlignment="1">
      <alignment horizontal="center" vertical="center" wrapText="1"/>
    </xf>
    <xf numFmtId="167" fontId="3" fillId="2" borderId="1" xfId="0" applyNumberFormat="1" applyFont="1" applyFill="1" applyBorder="1" applyAlignment="1">
      <alignment horizontal="center" vertical="center" wrapText="1"/>
    </xf>
    <xf numFmtId="16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20" fontId="8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8" fillId="0" borderId="0" xfId="0" applyFont="1"/>
    <xf numFmtId="0" fontId="16" fillId="5" borderId="1" xfId="0" applyFont="1" applyFill="1" applyBorder="1" applyAlignment="1">
      <alignment horizontal="left" vertical="center" wrapText="1"/>
    </xf>
  </cellXfs>
  <cellStyles count="5">
    <cellStyle name="Normal" xfId="0" builtinId="0"/>
    <cellStyle name="Normal 2" xfId="1" xr:uid="{00000000-0005-0000-0000-000006000000}"/>
    <cellStyle name="Normal 2 2" xfId="2" xr:uid="{00000000-0005-0000-0000-000007000000}"/>
    <cellStyle name="Normal 3" xfId="3" xr:uid="{00000000-0005-0000-0000-000008000000}"/>
    <cellStyle name="Normal 4" xfId="4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A303"/>
      <rgbColor rgb="FF000080"/>
      <rgbColor rgb="FF808000"/>
      <rgbColor rgb="FF800080"/>
      <rgbColor rgb="FF2D6A4F"/>
      <rgbColor rgb="FFC0C0C0"/>
      <rgbColor rgb="FF808080"/>
      <rgbColor rgb="FF9999FF"/>
      <rgbColor rgb="FFB45309"/>
      <rgbColor rgb="FFF8FAFC"/>
      <rgbColor rgb="FFDBEAFE"/>
      <rgbColor rgb="FF660066"/>
      <rgbColor rgb="FFFF8080"/>
      <rgbColor rgb="FF2E6DA4"/>
      <rgbColor rgb="FFCBD5E1"/>
      <rgbColor rgb="FF000080"/>
      <rgbColor rgb="FFFF00FF"/>
      <rgbColor rgb="FFFFFF00"/>
      <rgbColor rgb="FF00FFFF"/>
      <rgbColor rgb="FF800080"/>
      <rgbColor rgb="FF800000"/>
      <rgbColor rgb="FF16A34A"/>
      <rgbColor rgb="FF0000FF"/>
      <rgbColor rgb="FF00CCFF"/>
      <rgbColor rgb="FFEFF6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40916C"/>
      <rgbColor rgb="FF003300"/>
      <rgbColor rgb="FF555555"/>
      <rgbColor rgb="FFB91C1C"/>
      <rgbColor rgb="FF993366"/>
      <rgbColor rgb="FF1E3A5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92"/>
  <sheetViews>
    <sheetView tabSelected="1" zoomScale="125" zoomScaleNormal="125" workbookViewId="0">
      <pane ySplit="1" topLeftCell="A2" activePane="bottomLeft" state="frozen"/>
      <selection pane="bottomLeft" activeCell="F19" sqref="F19"/>
    </sheetView>
  </sheetViews>
  <sheetFormatPr baseColWidth="10" defaultColWidth="9" defaultRowHeight="13" x14ac:dyDescent="0.15"/>
  <cols>
    <col min="1" max="1" width="9.5" customWidth="1"/>
    <col min="2" max="2" width="18.5" customWidth="1"/>
    <col min="3" max="3" width="12" customWidth="1"/>
    <col min="4" max="4" width="11" style="2" customWidth="1"/>
    <col min="5" max="5" width="11" style="154" customWidth="1"/>
    <col min="6" max="6" width="7" style="34" customWidth="1"/>
    <col min="7" max="7" width="7" style="3" customWidth="1"/>
    <col min="8" max="8" width="5" style="3" customWidth="1"/>
    <col min="9" max="9" width="6" style="3" customWidth="1"/>
    <col min="10" max="10" width="5" style="3" customWidth="1"/>
    <col min="11" max="11" width="9" style="3"/>
    <col min="12" max="12" width="77.1640625" bestFit="1" customWidth="1"/>
    <col min="14" max="14" width="11.33203125" customWidth="1"/>
    <col min="15" max="15" width="12" style="4" customWidth="1"/>
    <col min="16" max="16" width="3.6640625" style="4" hidden="1" customWidth="1"/>
    <col min="17" max="18" width="14" customWidth="1"/>
    <col min="19" max="19" width="14.33203125" customWidth="1"/>
  </cols>
  <sheetData>
    <row r="1" spans="1:20" ht="24.75" customHeight="1" x14ac:dyDescent="0.15">
      <c r="A1" s="5" t="s">
        <v>0</v>
      </c>
      <c r="B1" s="5" t="s">
        <v>1</v>
      </c>
      <c r="C1" s="5" t="s">
        <v>2</v>
      </c>
      <c r="D1" s="6" t="s">
        <v>3</v>
      </c>
      <c r="E1" s="155" t="s">
        <v>4</v>
      </c>
      <c r="F1" s="15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/>
      <c r="N1" s="5" t="s">
        <v>12</v>
      </c>
      <c r="O1" s="5" t="s">
        <v>13</v>
      </c>
      <c r="P1" s="8"/>
      <c r="Q1" s="5" t="s">
        <v>14</v>
      </c>
      <c r="R1" s="5" t="s">
        <v>15</v>
      </c>
      <c r="S1" s="5" t="s">
        <v>16</v>
      </c>
    </row>
    <row r="2" spans="1:20" s="14" customFormat="1" ht="12.75" customHeight="1" x14ac:dyDescent="0.15">
      <c r="A2" s="157">
        <v>986</v>
      </c>
      <c r="B2" s="158" t="s">
        <v>1018</v>
      </c>
      <c r="C2" s="158" t="s">
        <v>1019</v>
      </c>
      <c r="D2" s="159">
        <v>28194</v>
      </c>
      <c r="E2" s="159">
        <v>45674</v>
      </c>
      <c r="F2" s="160">
        <v>0.76041666666666663</v>
      </c>
      <c r="G2" s="157">
        <v>55</v>
      </c>
      <c r="H2" s="158">
        <v>32</v>
      </c>
      <c r="I2" s="158">
        <v>1130</v>
      </c>
      <c r="J2" s="158">
        <v>99</v>
      </c>
      <c r="K2" s="158">
        <v>0</v>
      </c>
      <c r="L2" s="162" t="s">
        <v>1020</v>
      </c>
      <c r="M2" s="15" t="s">
        <v>17</v>
      </c>
      <c r="N2" s="24"/>
      <c r="O2" s="28">
        <v>231</v>
      </c>
      <c r="P2" s="28"/>
      <c r="Q2" s="23"/>
      <c r="R2" s="23">
        <v>4512</v>
      </c>
      <c r="S2" s="23">
        <f>R2</f>
        <v>4512</v>
      </c>
    </row>
    <row r="3" spans="1:20" ht="12.75" customHeight="1" x14ac:dyDescent="0.15">
      <c r="A3" s="157">
        <v>1051</v>
      </c>
      <c r="B3" s="158" t="s">
        <v>979</v>
      </c>
      <c r="C3" s="158" t="s">
        <v>980</v>
      </c>
      <c r="D3" s="159" t="s">
        <v>981</v>
      </c>
      <c r="E3" s="159" t="s">
        <v>982</v>
      </c>
      <c r="F3" s="160">
        <v>0.50694444444444442</v>
      </c>
      <c r="G3" s="157">
        <v>63</v>
      </c>
      <c r="H3" s="158">
        <v>42</v>
      </c>
      <c r="I3" s="158">
        <v>1990</v>
      </c>
      <c r="J3" s="158">
        <v>15</v>
      </c>
      <c r="K3" s="158">
        <v>0</v>
      </c>
      <c r="L3" s="162" t="s">
        <v>1010</v>
      </c>
      <c r="M3" s="20" t="s">
        <v>18</v>
      </c>
      <c r="N3" s="24"/>
      <c r="O3" s="23">
        <v>233</v>
      </c>
      <c r="P3" s="23"/>
      <c r="Q3" s="24"/>
      <c r="R3" s="24">
        <v>4253</v>
      </c>
      <c r="S3" s="23">
        <f>R3</f>
        <v>4253</v>
      </c>
    </row>
    <row r="4" spans="1:20" ht="12.75" customHeight="1" x14ac:dyDescent="0.15">
      <c r="A4" s="38">
        <v>910</v>
      </c>
      <c r="B4" s="12" t="s">
        <v>983</v>
      </c>
      <c r="C4" s="12" t="s">
        <v>984</v>
      </c>
      <c r="D4" s="154" t="s">
        <v>985</v>
      </c>
      <c r="E4" s="154" t="s">
        <v>982</v>
      </c>
      <c r="F4" s="161">
        <v>0.54166666666666663</v>
      </c>
      <c r="G4" s="3">
        <v>70</v>
      </c>
      <c r="H4" s="3">
        <v>33</v>
      </c>
      <c r="I4" s="3">
        <v>460</v>
      </c>
      <c r="J4" s="3">
        <v>30</v>
      </c>
      <c r="K4" s="3">
        <v>0</v>
      </c>
      <c r="L4" s="11" t="s">
        <v>1011</v>
      </c>
      <c r="M4" s="15" t="s">
        <v>19</v>
      </c>
      <c r="N4" s="24"/>
      <c r="O4" s="23">
        <v>233</v>
      </c>
      <c r="P4" s="23"/>
      <c r="Q4" s="24"/>
      <c r="R4" s="24">
        <v>4304</v>
      </c>
      <c r="S4" s="23">
        <f>R4</f>
        <v>4304</v>
      </c>
    </row>
    <row r="5" spans="1:20" ht="12.75" customHeight="1" x14ac:dyDescent="0.15">
      <c r="A5" s="157">
        <v>876</v>
      </c>
      <c r="B5" s="158" t="s">
        <v>986</v>
      </c>
      <c r="C5" s="158" t="s">
        <v>987</v>
      </c>
      <c r="D5" s="159" t="s">
        <v>988</v>
      </c>
      <c r="E5" s="159" t="s">
        <v>989</v>
      </c>
      <c r="F5" s="160">
        <v>0.5</v>
      </c>
      <c r="G5" s="157">
        <v>59</v>
      </c>
      <c r="H5" s="158">
        <v>41</v>
      </c>
      <c r="I5" s="158">
        <v>340</v>
      </c>
      <c r="J5" s="158">
        <v>45</v>
      </c>
      <c r="K5" s="158">
        <v>50</v>
      </c>
      <c r="L5" s="162" t="s">
        <v>1012</v>
      </c>
      <c r="M5" s="22" t="s">
        <v>20</v>
      </c>
      <c r="N5" s="24"/>
      <c r="O5" s="23"/>
      <c r="P5" s="23"/>
      <c r="Q5" s="23"/>
      <c r="R5" s="23"/>
      <c r="S5" s="23"/>
    </row>
    <row r="6" spans="1:20" ht="12.75" customHeight="1" x14ac:dyDescent="0.15">
      <c r="A6" s="38">
        <v>921</v>
      </c>
      <c r="B6" s="12" t="s">
        <v>990</v>
      </c>
      <c r="C6" s="12" t="s">
        <v>991</v>
      </c>
      <c r="D6" s="154" t="s">
        <v>992</v>
      </c>
      <c r="E6" s="154" t="s">
        <v>993</v>
      </c>
      <c r="F6" s="161">
        <v>0.90972222222222221</v>
      </c>
      <c r="G6" s="3">
        <v>53</v>
      </c>
      <c r="H6" s="3">
        <v>32</v>
      </c>
      <c r="I6" s="3">
        <v>1130</v>
      </c>
      <c r="J6" s="3">
        <v>99</v>
      </c>
      <c r="K6" s="3">
        <v>0</v>
      </c>
      <c r="L6" s="11" t="s">
        <v>1013</v>
      </c>
      <c r="M6" s="15" t="s">
        <v>21</v>
      </c>
      <c r="N6" s="24"/>
      <c r="O6" s="23">
        <v>234</v>
      </c>
      <c r="P6" s="23"/>
      <c r="Q6" s="24"/>
      <c r="R6" s="24">
        <v>3713</v>
      </c>
      <c r="S6" s="23">
        <f>R6</f>
        <v>3713</v>
      </c>
    </row>
    <row r="7" spans="1:20" ht="12.75" customHeight="1" x14ac:dyDescent="0.15">
      <c r="A7" s="38">
        <v>364</v>
      </c>
      <c r="B7" s="12" t="s">
        <v>994</v>
      </c>
      <c r="C7" s="12" t="s">
        <v>995</v>
      </c>
      <c r="D7" s="154" t="s">
        <v>996</v>
      </c>
      <c r="E7" s="154" t="s">
        <v>997</v>
      </c>
      <c r="F7" s="161">
        <v>0.50694444444444442</v>
      </c>
      <c r="G7" s="3">
        <v>96</v>
      </c>
      <c r="H7" s="3">
        <v>35</v>
      </c>
      <c r="I7" s="3">
        <v>380</v>
      </c>
      <c r="J7" s="3">
        <v>52</v>
      </c>
      <c r="K7" s="3">
        <v>2</v>
      </c>
      <c r="L7" s="11" t="s">
        <v>1014</v>
      </c>
      <c r="M7" s="15" t="s">
        <v>22</v>
      </c>
      <c r="N7" s="24"/>
      <c r="O7" s="23">
        <v>232</v>
      </c>
      <c r="P7" s="23"/>
      <c r="Q7" s="24"/>
      <c r="R7" s="24">
        <v>4259</v>
      </c>
      <c r="S7" s="23">
        <f>R7</f>
        <v>4259</v>
      </c>
    </row>
    <row r="8" spans="1:20" ht="12.75" customHeight="1" x14ac:dyDescent="0.15">
      <c r="A8" s="157">
        <v>953</v>
      </c>
      <c r="B8" s="158" t="s">
        <v>998</v>
      </c>
      <c r="C8" s="158" t="s">
        <v>999</v>
      </c>
      <c r="D8" s="159" t="s">
        <v>1000</v>
      </c>
      <c r="E8" s="159" t="s">
        <v>1001</v>
      </c>
      <c r="F8" s="160">
        <v>0.75347222222222221</v>
      </c>
      <c r="G8" s="157">
        <v>55</v>
      </c>
      <c r="H8" s="158">
        <v>32</v>
      </c>
      <c r="I8" s="158">
        <v>340</v>
      </c>
      <c r="J8" s="158">
        <v>44</v>
      </c>
      <c r="K8" s="158">
        <v>26</v>
      </c>
      <c r="L8" s="11" t="s">
        <v>1015</v>
      </c>
      <c r="M8" s="15" t="s">
        <v>23</v>
      </c>
      <c r="N8" s="24"/>
      <c r="O8" s="23">
        <v>230</v>
      </c>
      <c r="P8" s="23"/>
      <c r="Q8" s="24"/>
      <c r="R8" s="24">
        <v>3509</v>
      </c>
      <c r="S8" s="23">
        <f>R8</f>
        <v>3509</v>
      </c>
    </row>
    <row r="9" spans="1:20" ht="12.75" customHeight="1" x14ac:dyDescent="0.15">
      <c r="A9" s="38">
        <v>1061</v>
      </c>
      <c r="B9" s="12" t="s">
        <v>1002</v>
      </c>
      <c r="C9" s="12" t="s">
        <v>1003</v>
      </c>
      <c r="D9" s="3" t="s">
        <v>1004</v>
      </c>
      <c r="E9" s="154" t="s">
        <v>1005</v>
      </c>
      <c r="F9" s="161">
        <v>0.42708333333333331</v>
      </c>
      <c r="G9" s="3">
        <v>70</v>
      </c>
      <c r="H9" s="3">
        <v>33</v>
      </c>
      <c r="I9" s="3">
        <v>220</v>
      </c>
      <c r="J9" s="3">
        <v>45</v>
      </c>
      <c r="K9" s="3">
        <v>0</v>
      </c>
      <c r="L9" s="11" t="s">
        <v>1016</v>
      </c>
      <c r="M9" s="25" t="s">
        <v>24</v>
      </c>
      <c r="N9" s="24"/>
      <c r="O9" s="23"/>
      <c r="P9" s="23"/>
      <c r="Q9" s="17"/>
      <c r="R9" s="23"/>
      <c r="S9" s="23"/>
    </row>
    <row r="10" spans="1:20" ht="12.75" customHeight="1" x14ac:dyDescent="0.15">
      <c r="A10" s="38">
        <v>928</v>
      </c>
      <c r="B10" s="12" t="s">
        <v>1006</v>
      </c>
      <c r="C10" s="12" t="s">
        <v>1007</v>
      </c>
      <c r="D10" s="154" t="s">
        <v>1008</v>
      </c>
      <c r="E10" s="154" t="s">
        <v>1009</v>
      </c>
      <c r="F10" s="161">
        <v>0.51388888888888895</v>
      </c>
      <c r="G10" s="3">
        <v>86</v>
      </c>
      <c r="H10" s="3">
        <v>33</v>
      </c>
      <c r="I10" s="3">
        <v>440</v>
      </c>
      <c r="J10" s="3">
        <v>30</v>
      </c>
      <c r="K10" s="3">
        <v>4</v>
      </c>
      <c r="L10" s="11" t="s">
        <v>1017</v>
      </c>
      <c r="M10" s="15" t="s">
        <v>25</v>
      </c>
      <c r="N10" s="16"/>
      <c r="O10" s="17">
        <v>230</v>
      </c>
      <c r="P10" s="17"/>
      <c r="Q10" s="16"/>
      <c r="R10" s="16">
        <v>3509</v>
      </c>
      <c r="S10" s="23">
        <f>R10</f>
        <v>3509</v>
      </c>
    </row>
    <row r="11" spans="1:20" ht="12.75" customHeight="1" x14ac:dyDescent="0.15">
      <c r="A11" s="9"/>
      <c r="B11" s="10"/>
      <c r="C11" s="11"/>
      <c r="D11" s="12"/>
      <c r="E11" s="153"/>
      <c r="F11" s="37"/>
      <c r="G11" s="12"/>
      <c r="H11" s="12"/>
      <c r="I11" s="12"/>
      <c r="J11" s="12"/>
      <c r="K11" s="12"/>
      <c r="L11" s="11"/>
      <c r="M11" s="26" t="s">
        <v>26</v>
      </c>
      <c r="N11" s="24"/>
      <c r="O11" s="23">
        <v>230</v>
      </c>
      <c r="P11" s="23"/>
      <c r="Q11" s="16"/>
      <c r="R11" s="24">
        <v>3509</v>
      </c>
      <c r="S11" s="23">
        <f>R11</f>
        <v>3509</v>
      </c>
    </row>
    <row r="12" spans="1:20" s="11" customFormat="1" ht="12.75" customHeight="1" x14ac:dyDescent="0.15">
      <c r="A12" s="9"/>
      <c r="B12" s="10"/>
      <c r="D12" s="12"/>
      <c r="E12" s="153"/>
      <c r="F12" s="37"/>
      <c r="G12" s="12"/>
      <c r="H12" s="12"/>
      <c r="I12" s="12"/>
      <c r="J12" s="12"/>
      <c r="K12" s="12"/>
      <c r="M12" s="26" t="s">
        <v>27</v>
      </c>
      <c r="N12" s="24"/>
      <c r="O12" s="23">
        <v>227</v>
      </c>
      <c r="P12" s="23"/>
      <c r="Q12" s="16"/>
      <c r="R12" s="24">
        <v>4283</v>
      </c>
      <c r="S12" s="23">
        <f>R12</f>
        <v>4283</v>
      </c>
    </row>
    <row r="13" spans="1:20" ht="12.75" customHeight="1" x14ac:dyDescent="0.15">
      <c r="A13" s="9"/>
      <c r="B13" s="10"/>
      <c r="C13" s="11"/>
      <c r="D13" s="12"/>
      <c r="E13" s="153"/>
      <c r="F13" s="37"/>
      <c r="G13" s="12"/>
      <c r="H13" s="12"/>
      <c r="I13" s="12"/>
      <c r="J13" s="12"/>
      <c r="K13" s="12"/>
      <c r="L13" s="11"/>
      <c r="M13" s="25" t="s">
        <v>28</v>
      </c>
      <c r="N13" s="24"/>
      <c r="O13" s="23"/>
      <c r="P13" s="23"/>
      <c r="Q13" s="17"/>
      <c r="R13" s="23"/>
      <c r="S13" s="23"/>
    </row>
    <row r="14" spans="1:20" ht="12.75" customHeight="1" x14ac:dyDescent="0.15">
      <c r="A14" s="9"/>
      <c r="B14" s="10"/>
      <c r="C14" s="11"/>
      <c r="D14" s="12"/>
      <c r="E14" s="153"/>
      <c r="F14" s="37"/>
      <c r="G14" s="12"/>
      <c r="H14" s="12"/>
      <c r="I14" s="12"/>
      <c r="J14" s="12"/>
      <c r="K14" s="12"/>
      <c r="L14" s="11"/>
      <c r="M14" s="26" t="s">
        <v>29</v>
      </c>
      <c r="N14" s="24"/>
      <c r="O14" s="24">
        <v>226</v>
      </c>
      <c r="P14" s="23"/>
      <c r="Q14" s="24"/>
      <c r="R14" s="24">
        <v>4462</v>
      </c>
      <c r="S14" s="23">
        <f>R14</f>
        <v>4462</v>
      </c>
    </row>
    <row r="15" spans="1:20" ht="12.75" customHeight="1" x14ac:dyDescent="0.15">
      <c r="A15" s="9"/>
      <c r="B15" s="10"/>
      <c r="C15" s="11"/>
      <c r="D15" s="12"/>
      <c r="E15" s="153"/>
      <c r="F15" s="37"/>
      <c r="G15" s="12"/>
      <c r="H15" s="12"/>
      <c r="I15" s="12"/>
      <c r="J15" s="12"/>
      <c r="K15" s="12"/>
      <c r="L15" s="11"/>
      <c r="M15" s="27" t="s">
        <v>30</v>
      </c>
      <c r="N15" s="24"/>
      <c r="O15" s="17">
        <v>226</v>
      </c>
      <c r="P15" s="17"/>
      <c r="Q15" s="16"/>
      <c r="R15" s="24">
        <v>4166</v>
      </c>
      <c r="S15" s="23">
        <f>R15</f>
        <v>4166</v>
      </c>
    </row>
    <row r="16" spans="1:20" ht="12.75" customHeight="1" x14ac:dyDescent="0.15">
      <c r="A16" s="9"/>
      <c r="B16" s="10"/>
      <c r="C16" s="11"/>
      <c r="D16" s="12"/>
      <c r="E16" s="153"/>
      <c r="F16" s="37"/>
      <c r="G16" s="12"/>
      <c r="H16" s="12"/>
      <c r="I16" s="12"/>
      <c r="J16" s="12"/>
      <c r="K16" s="12"/>
      <c r="L16" s="11"/>
      <c r="M16" s="26" t="s">
        <v>31</v>
      </c>
      <c r="N16" s="24"/>
      <c r="O16" s="23">
        <v>228</v>
      </c>
      <c r="P16" s="23"/>
      <c r="Q16" s="28"/>
      <c r="R16" s="24">
        <v>5173</v>
      </c>
      <c r="S16" s="23">
        <f>R16</f>
        <v>5173</v>
      </c>
      <c r="T16" s="2"/>
    </row>
    <row r="17" spans="1:20" ht="12.75" customHeight="1" x14ac:dyDescent="0.15">
      <c r="A17" s="9"/>
      <c r="B17" s="10"/>
      <c r="C17" s="11"/>
      <c r="D17" s="3"/>
      <c r="I17" s="12"/>
      <c r="K17" s="12"/>
      <c r="L17" s="11"/>
      <c r="M17" s="16"/>
      <c r="N17" s="24"/>
      <c r="O17" s="23">
        <v>228</v>
      </c>
      <c r="P17" s="23"/>
      <c r="Q17" s="23">
        <f>SUM(Q2:Q16)</f>
        <v>0</v>
      </c>
      <c r="R17" s="23">
        <f>SUM(R2:R4,R6:R8,R10:R12,R14:R16)</f>
        <v>49652</v>
      </c>
      <c r="S17" s="23">
        <f>SUM(S2:S16)</f>
        <v>49652</v>
      </c>
    </row>
    <row r="18" spans="1:20" s="29" customFormat="1" ht="12.75" customHeight="1" x14ac:dyDescent="0.15">
      <c r="A18" s="9"/>
      <c r="B18" s="10"/>
      <c r="C18" s="11"/>
      <c r="D18" s="12"/>
      <c r="E18" s="153"/>
      <c r="F18" s="37"/>
      <c r="G18" s="12"/>
      <c r="H18" s="12"/>
      <c r="I18" s="12"/>
      <c r="J18" s="12"/>
      <c r="K18" s="12"/>
      <c r="L18" s="11"/>
      <c r="O18" s="30"/>
      <c r="P18" s="4"/>
    </row>
    <row r="19" spans="1:20" ht="12.75" customHeight="1" x14ac:dyDescent="0.15">
      <c r="A19" s="9"/>
      <c r="B19" s="10"/>
      <c r="C19" s="11"/>
      <c r="E19" s="153"/>
      <c r="H19" s="12"/>
      <c r="I19" s="12"/>
      <c r="K19" s="12"/>
      <c r="L19" s="19"/>
      <c r="M19" s="29"/>
      <c r="N19" s="29"/>
      <c r="O19" s="31"/>
      <c r="P19" s="32"/>
      <c r="Q19" s="29"/>
      <c r="R19" s="29"/>
      <c r="S19" s="29"/>
      <c r="T19" s="11"/>
    </row>
    <row r="20" spans="1:20" ht="12.75" customHeight="1" x14ac:dyDescent="0.15">
      <c r="A20" s="9"/>
      <c r="B20" s="10"/>
      <c r="C20" s="11"/>
      <c r="D20" s="3"/>
      <c r="E20" s="153"/>
      <c r="H20" s="12"/>
      <c r="K20" s="12"/>
      <c r="L20" s="11"/>
    </row>
    <row r="21" spans="1:20" ht="12.75" customHeight="1" x14ac:dyDescent="0.15">
      <c r="A21" s="9"/>
      <c r="B21" s="10"/>
      <c r="C21" s="11"/>
      <c r="D21" s="12"/>
      <c r="E21" s="153"/>
      <c r="F21" s="37"/>
      <c r="G21" s="12"/>
      <c r="H21" s="12"/>
      <c r="I21" s="12"/>
      <c r="J21" s="12"/>
      <c r="K21" s="18"/>
      <c r="L21" s="11"/>
      <c r="M21" s="29"/>
      <c r="N21" s="29"/>
      <c r="O21" s="29"/>
      <c r="P21" s="29"/>
      <c r="Q21" s="29"/>
      <c r="R21" s="29"/>
      <c r="S21" s="29"/>
    </row>
    <row r="22" spans="1:20" s="29" customFormat="1" ht="12.75" customHeight="1" x14ac:dyDescent="0.15">
      <c r="A22" s="9"/>
      <c r="B22" s="10"/>
      <c r="C22" s="11"/>
      <c r="D22" s="3"/>
      <c r="E22" s="154"/>
      <c r="F22" s="34"/>
      <c r="G22" s="3"/>
      <c r="H22" s="3"/>
      <c r="I22" s="3"/>
      <c r="J22" s="3"/>
      <c r="K22" s="18"/>
      <c r="L22" s="11"/>
      <c r="M22" s="11"/>
      <c r="N22" s="11"/>
      <c r="O22" s="11"/>
      <c r="P22" s="11"/>
      <c r="Q22" s="11"/>
      <c r="R22" s="11"/>
      <c r="S22" s="11"/>
    </row>
    <row r="23" spans="1:20" s="11" customFormat="1" ht="12.75" customHeight="1" x14ac:dyDescent="0.15">
      <c r="A23" s="9"/>
      <c r="B23" s="10"/>
      <c r="D23" s="3"/>
      <c r="E23" s="153"/>
      <c r="F23" s="34"/>
      <c r="G23" s="12"/>
      <c r="H23" s="12"/>
      <c r="I23" s="12"/>
      <c r="J23" s="12"/>
      <c r="K23" s="18"/>
      <c r="M23" s="29"/>
      <c r="N23" s="29"/>
      <c r="O23" s="29"/>
      <c r="P23" s="29"/>
      <c r="Q23" s="29"/>
      <c r="R23" s="29"/>
      <c r="S23" s="29"/>
    </row>
    <row r="24" spans="1:20" s="11" customFormat="1" ht="12.75" customHeight="1" x14ac:dyDescent="0.15">
      <c r="A24" s="9"/>
      <c r="B24" s="10"/>
      <c r="D24" s="12"/>
      <c r="E24" s="153"/>
      <c r="F24" s="37"/>
      <c r="G24" s="12"/>
      <c r="H24" s="12"/>
      <c r="I24" s="12"/>
      <c r="J24" s="12"/>
      <c r="K24" s="12"/>
    </row>
    <row r="25" spans="1:20" s="11" customFormat="1" ht="12.75" customHeight="1" x14ac:dyDescent="0.15">
      <c r="A25" s="9"/>
      <c r="B25" s="10"/>
      <c r="D25" s="12"/>
      <c r="E25" s="153"/>
      <c r="F25" s="37"/>
      <c r="G25" s="12"/>
      <c r="H25" s="12"/>
      <c r="I25" s="12"/>
      <c r="J25" s="12"/>
      <c r="K25" s="12"/>
    </row>
    <row r="26" spans="1:20" ht="12.75" customHeight="1" x14ac:dyDescent="0.15">
      <c r="A26" s="9"/>
      <c r="B26" s="10"/>
      <c r="C26" s="11"/>
      <c r="D26" s="12"/>
      <c r="E26" s="153"/>
      <c r="F26" s="37"/>
      <c r="G26" s="12"/>
      <c r="H26" s="12"/>
      <c r="I26" s="12"/>
      <c r="J26" s="12"/>
      <c r="K26" s="12"/>
      <c r="L26" s="11"/>
      <c r="M26" s="11"/>
      <c r="N26" s="11"/>
      <c r="O26" s="33"/>
      <c r="P26" s="33"/>
      <c r="Q26" s="11"/>
      <c r="R26" s="11"/>
      <c r="S26" s="11"/>
    </row>
    <row r="27" spans="1:20" ht="12.75" customHeight="1" x14ac:dyDescent="0.15">
      <c r="A27" s="9"/>
      <c r="B27" s="10"/>
      <c r="C27" s="11"/>
      <c r="D27" s="12"/>
      <c r="E27" s="153"/>
      <c r="F27" s="37"/>
      <c r="G27" s="12"/>
      <c r="H27" s="12"/>
      <c r="I27" s="12"/>
      <c r="J27" s="12"/>
      <c r="K27" s="12"/>
      <c r="L27" s="11"/>
    </row>
    <row r="28" spans="1:20" ht="12.75" customHeight="1" x14ac:dyDescent="0.15">
      <c r="A28" s="9"/>
      <c r="B28" s="10"/>
      <c r="C28" s="11"/>
      <c r="D28" s="3"/>
      <c r="L28" s="11"/>
    </row>
    <row r="29" spans="1:20" ht="12.75" customHeight="1" x14ac:dyDescent="0.15">
      <c r="A29" s="9"/>
      <c r="B29" s="10"/>
      <c r="C29" s="11"/>
      <c r="D29" s="12"/>
      <c r="E29" s="153"/>
      <c r="F29" s="37"/>
      <c r="G29" s="12"/>
      <c r="H29" s="12"/>
      <c r="I29" s="12"/>
      <c r="J29" s="12"/>
      <c r="K29" s="12"/>
      <c r="L29" s="11"/>
    </row>
    <row r="30" spans="1:20" ht="12.75" customHeight="1" x14ac:dyDescent="0.15">
      <c r="A30" s="9"/>
      <c r="B30" s="11"/>
      <c r="C30" s="11"/>
      <c r="D30" s="3"/>
      <c r="L30" s="11"/>
    </row>
    <row r="31" spans="1:20" ht="12.75" customHeight="1" x14ac:dyDescent="0.15">
      <c r="A31" s="9"/>
      <c r="B31" s="10"/>
      <c r="C31" s="11"/>
      <c r="D31" s="12"/>
      <c r="E31" s="153"/>
      <c r="F31" s="37"/>
      <c r="G31" s="12"/>
      <c r="H31" s="12"/>
      <c r="I31" s="12"/>
      <c r="J31" s="12"/>
      <c r="K31" s="12"/>
      <c r="L31" s="11"/>
    </row>
    <row r="32" spans="1:20" ht="12.75" customHeight="1" x14ac:dyDescent="0.15">
      <c r="A32" s="9"/>
      <c r="B32" s="10"/>
      <c r="C32" s="11"/>
      <c r="D32" s="3"/>
      <c r="K32" s="18"/>
      <c r="L32" s="11"/>
    </row>
    <row r="33" spans="1:19" ht="12.75" customHeight="1" x14ac:dyDescent="0.15">
      <c r="A33" s="9"/>
      <c r="B33" s="10"/>
      <c r="C33" s="11"/>
      <c r="D33" s="3"/>
      <c r="K33" s="12"/>
      <c r="L33" s="35"/>
      <c r="M33" s="11"/>
      <c r="N33" s="11"/>
      <c r="Q33" s="11"/>
      <c r="R33" s="11"/>
      <c r="S33" s="11"/>
    </row>
    <row r="34" spans="1:19" s="11" customFormat="1" ht="12.75" customHeight="1" x14ac:dyDescent="0.15">
      <c r="A34" s="9"/>
      <c r="B34" s="10"/>
      <c r="D34" s="3"/>
      <c r="E34" s="154"/>
      <c r="F34" s="34"/>
      <c r="G34" s="3"/>
      <c r="H34" s="3"/>
      <c r="I34" s="3"/>
      <c r="J34" s="3"/>
      <c r="K34" s="12"/>
      <c r="L34" s="21"/>
      <c r="O34" s="4"/>
      <c r="P34" s="4"/>
    </row>
    <row r="35" spans="1:19" s="11" customFormat="1" ht="12.75" customHeight="1" x14ac:dyDescent="0.15">
      <c r="A35" s="9"/>
      <c r="B35" s="10"/>
      <c r="D35" s="12"/>
      <c r="E35" s="153"/>
      <c r="F35" s="37"/>
      <c r="G35" s="12"/>
      <c r="H35" s="12"/>
      <c r="I35" s="12"/>
      <c r="J35" s="12"/>
      <c r="K35" s="12"/>
      <c r="O35" s="33"/>
      <c r="P35" s="33"/>
    </row>
    <row r="36" spans="1:19" ht="12.75" customHeight="1" x14ac:dyDescent="0.15">
      <c r="A36" s="9"/>
      <c r="B36" s="10"/>
      <c r="C36" s="11"/>
      <c r="D36" s="3"/>
      <c r="K36" s="12"/>
      <c r="L36" s="11"/>
      <c r="M36" s="11"/>
      <c r="N36" s="11"/>
      <c r="O36" s="33"/>
      <c r="P36" s="33"/>
      <c r="Q36" s="11"/>
      <c r="R36" s="11"/>
      <c r="S36" s="11"/>
    </row>
    <row r="37" spans="1:19" ht="12.75" customHeight="1" x14ac:dyDescent="0.15">
      <c r="A37" s="9"/>
      <c r="B37" s="10"/>
      <c r="C37" s="11"/>
      <c r="D37" s="12"/>
      <c r="E37" s="153"/>
      <c r="F37" s="37"/>
      <c r="G37" s="12"/>
      <c r="H37" s="12"/>
      <c r="I37" s="12"/>
      <c r="J37" s="12"/>
      <c r="K37" s="12"/>
      <c r="L37" s="11"/>
    </row>
    <row r="38" spans="1:19" ht="12.75" customHeight="1" x14ac:dyDescent="0.15">
      <c r="A38" s="9"/>
      <c r="B38" s="10"/>
      <c r="C38" s="11"/>
      <c r="D38" s="3"/>
      <c r="K38" s="12"/>
      <c r="L38" s="11"/>
    </row>
    <row r="39" spans="1:19" ht="12.75" customHeight="1" x14ac:dyDescent="0.15">
      <c r="A39" s="9"/>
      <c r="B39" s="10"/>
      <c r="C39" s="11"/>
      <c r="D39" s="12"/>
      <c r="E39" s="153"/>
      <c r="L39" s="21"/>
    </row>
    <row r="40" spans="1:19" ht="12.75" customHeight="1" x14ac:dyDescent="0.15">
      <c r="A40" s="9"/>
      <c r="B40" s="10"/>
      <c r="C40" s="11"/>
      <c r="D40" s="12"/>
      <c r="E40" s="153"/>
      <c r="F40" s="37"/>
      <c r="G40" s="12"/>
      <c r="H40" s="12"/>
      <c r="I40" s="12"/>
      <c r="J40" s="12"/>
      <c r="K40" s="12"/>
      <c r="L40" s="35"/>
    </row>
    <row r="41" spans="1:19" ht="12.75" customHeight="1" x14ac:dyDescent="0.15">
      <c r="A41" s="9"/>
      <c r="B41" s="10"/>
      <c r="C41" s="11"/>
      <c r="D41" s="12"/>
      <c r="E41" s="153"/>
      <c r="F41" s="37"/>
      <c r="G41" s="12"/>
      <c r="H41" s="12"/>
      <c r="I41" s="12"/>
      <c r="J41" s="12"/>
      <c r="K41" s="12"/>
      <c r="L41" s="11"/>
    </row>
    <row r="42" spans="1:19" ht="12.75" customHeight="1" x14ac:dyDescent="0.15">
      <c r="A42" s="9"/>
      <c r="B42" s="10"/>
      <c r="C42" s="11"/>
      <c r="D42" s="3"/>
      <c r="K42" s="12"/>
      <c r="L42" s="11"/>
    </row>
    <row r="43" spans="1:19" ht="12.75" customHeight="1" x14ac:dyDescent="0.15">
      <c r="A43" s="9"/>
      <c r="B43" s="10"/>
      <c r="C43" s="11"/>
      <c r="D43" s="12"/>
      <c r="E43" s="153"/>
      <c r="F43" s="37"/>
      <c r="G43" s="12"/>
      <c r="H43" s="12"/>
      <c r="I43" s="12"/>
      <c r="J43" s="12"/>
      <c r="K43" s="12"/>
      <c r="L43" s="11"/>
    </row>
    <row r="44" spans="1:19" ht="12.75" customHeight="1" x14ac:dyDescent="0.15">
      <c r="A44" s="9"/>
      <c r="B44" s="10"/>
      <c r="C44" s="11"/>
      <c r="E44" s="153"/>
      <c r="H44" s="12"/>
      <c r="K44" s="12"/>
      <c r="L44" s="19"/>
    </row>
    <row r="45" spans="1:19" ht="12.75" customHeight="1" x14ac:dyDescent="0.15">
      <c r="A45" s="9"/>
      <c r="B45" s="10"/>
      <c r="C45" s="11"/>
      <c r="D45" s="3"/>
      <c r="E45" s="153"/>
      <c r="H45" s="12"/>
      <c r="K45" s="12"/>
      <c r="L45" s="19"/>
    </row>
    <row r="46" spans="1:19" ht="12.75" customHeight="1" x14ac:dyDescent="0.15">
      <c r="A46" s="36"/>
      <c r="B46" s="11"/>
      <c r="C46" s="10"/>
      <c r="D46" s="8"/>
      <c r="L46" s="35"/>
    </row>
    <row r="47" spans="1:19" ht="12.75" customHeight="1" x14ac:dyDescent="0.15">
      <c r="A47" s="36"/>
      <c r="B47" s="11"/>
      <c r="C47" s="11"/>
      <c r="D47" s="3"/>
      <c r="L47" s="11"/>
    </row>
    <row r="48" spans="1:19" ht="12.75" customHeight="1" x14ac:dyDescent="0.15">
      <c r="A48" s="36"/>
      <c r="B48" s="11"/>
      <c r="C48" s="11"/>
      <c r="D48" s="3"/>
      <c r="K48" s="12"/>
      <c r="L48" s="11"/>
    </row>
    <row r="49" spans="1:19" ht="12.75" customHeight="1" x14ac:dyDescent="0.15">
      <c r="A49" s="36"/>
      <c r="B49" s="11"/>
      <c r="C49" s="11"/>
      <c r="D49" s="3"/>
      <c r="K49" s="12"/>
      <c r="L49" s="11"/>
    </row>
    <row r="50" spans="1:19" ht="12.75" customHeight="1" x14ac:dyDescent="0.15">
      <c r="A50" s="9"/>
      <c r="B50" s="10"/>
      <c r="C50" s="11"/>
      <c r="D50" s="12"/>
      <c r="E50" s="153"/>
      <c r="F50" s="37"/>
      <c r="G50" s="12"/>
      <c r="H50" s="12"/>
      <c r="I50" s="12"/>
      <c r="J50" s="12"/>
      <c r="K50" s="12"/>
      <c r="L50" s="11"/>
    </row>
    <row r="51" spans="1:19" ht="12.75" customHeight="1" x14ac:dyDescent="0.15">
      <c r="A51" s="36"/>
      <c r="B51" s="10"/>
      <c r="C51" s="11"/>
      <c r="D51" s="3"/>
      <c r="K51" s="12"/>
      <c r="L51" s="35"/>
    </row>
    <row r="52" spans="1:19" ht="12.75" customHeight="1" x14ac:dyDescent="0.15">
      <c r="A52" s="9"/>
      <c r="B52" s="10"/>
      <c r="C52" s="11"/>
      <c r="D52" s="12"/>
      <c r="E52" s="153"/>
      <c r="F52" s="37"/>
      <c r="G52" s="12"/>
      <c r="I52" s="12"/>
      <c r="J52" s="12"/>
      <c r="K52" s="12"/>
      <c r="L52" s="11"/>
    </row>
    <row r="53" spans="1:19" ht="12.75" customHeight="1" x14ac:dyDescent="0.15">
      <c r="A53" s="36"/>
      <c r="B53" s="10"/>
      <c r="C53" s="11"/>
      <c r="D53" s="3"/>
      <c r="E53" s="153"/>
      <c r="G53" s="38"/>
      <c r="K53" s="12"/>
      <c r="L53" s="35"/>
    </row>
    <row r="54" spans="1:19" ht="12.75" customHeight="1" x14ac:dyDescent="0.15">
      <c r="A54" s="36"/>
      <c r="B54" s="10"/>
      <c r="C54" s="11"/>
      <c r="D54" s="3"/>
      <c r="K54" s="12"/>
      <c r="L54" s="35"/>
    </row>
    <row r="55" spans="1:19" ht="12.75" customHeight="1" x14ac:dyDescent="0.15">
      <c r="A55" s="36"/>
      <c r="B55" s="10"/>
      <c r="C55" s="11"/>
      <c r="D55" s="3"/>
      <c r="K55" s="12"/>
      <c r="L55" s="21"/>
    </row>
    <row r="56" spans="1:19" ht="12.75" customHeight="1" x14ac:dyDescent="0.15">
      <c r="A56" s="9"/>
      <c r="B56" s="10"/>
      <c r="C56" s="11"/>
      <c r="D56" s="12"/>
      <c r="E56" s="153"/>
      <c r="F56" s="37"/>
      <c r="G56" s="39"/>
      <c r="H56" s="12"/>
      <c r="I56" s="12"/>
      <c r="J56" s="12"/>
      <c r="K56" s="12"/>
      <c r="L56" s="19"/>
    </row>
    <row r="57" spans="1:19" ht="12.75" customHeight="1" x14ac:dyDescent="0.15">
      <c r="A57" s="9"/>
      <c r="B57" s="10"/>
      <c r="C57" s="11"/>
      <c r="D57" s="3"/>
      <c r="G57" s="12"/>
      <c r="H57" s="12"/>
      <c r="I57" s="12"/>
      <c r="J57" s="12"/>
      <c r="K57" s="12"/>
      <c r="L57" s="11"/>
    </row>
    <row r="58" spans="1:19" ht="12.75" customHeight="1" x14ac:dyDescent="0.15">
      <c r="A58" s="9"/>
      <c r="B58" s="10"/>
      <c r="C58" s="11"/>
      <c r="D58" s="3"/>
      <c r="K58" s="12"/>
      <c r="L58" s="21"/>
      <c r="M58" s="29"/>
      <c r="N58" s="29"/>
      <c r="Q58" s="29"/>
      <c r="R58" s="29"/>
      <c r="S58" s="29"/>
    </row>
    <row r="59" spans="1:19" s="29" customFormat="1" ht="12.75" customHeight="1" x14ac:dyDescent="0.15">
      <c r="A59" s="36"/>
      <c r="B59" s="10"/>
      <c r="C59" s="11"/>
      <c r="D59" s="3"/>
      <c r="E59" s="153"/>
      <c r="F59" s="37"/>
      <c r="G59" s="12"/>
      <c r="H59" s="12"/>
      <c r="I59" s="12"/>
      <c r="J59" s="12"/>
      <c r="K59" s="12"/>
      <c r="L59" s="11"/>
      <c r="O59" s="4"/>
      <c r="P59" s="4"/>
    </row>
    <row r="60" spans="1:19" ht="12.75" customHeight="1" x14ac:dyDescent="0.15">
      <c r="A60" s="9"/>
      <c r="B60" s="10"/>
      <c r="C60" s="11"/>
      <c r="D60" s="12"/>
      <c r="E60" s="153"/>
      <c r="F60" s="37"/>
      <c r="G60" s="12"/>
      <c r="H60" s="12"/>
      <c r="I60" s="12"/>
      <c r="J60" s="12"/>
      <c r="K60" s="12"/>
      <c r="L60" s="11"/>
      <c r="M60" s="29"/>
      <c r="N60" s="29"/>
      <c r="O60" s="32"/>
      <c r="P60" s="32"/>
      <c r="Q60" s="29"/>
      <c r="R60" s="29"/>
      <c r="S60" s="29"/>
    </row>
    <row r="61" spans="1:19" s="11" customFormat="1" ht="12.75" customHeight="1" x14ac:dyDescent="0.15">
      <c r="A61" s="40"/>
      <c r="B61" s="10"/>
      <c r="D61" s="12"/>
      <c r="E61" s="153"/>
      <c r="F61" s="37"/>
      <c r="G61" s="12"/>
      <c r="H61" s="12"/>
      <c r="I61" s="12"/>
      <c r="J61" s="12"/>
      <c r="K61" s="12"/>
      <c r="L61" s="35"/>
      <c r="O61" s="4"/>
      <c r="P61" s="4"/>
    </row>
    <row r="62" spans="1:19" ht="12.75" customHeight="1" x14ac:dyDescent="0.15">
      <c r="A62" s="9"/>
      <c r="B62" s="10"/>
      <c r="C62" s="11"/>
      <c r="D62" s="12"/>
      <c r="E62" s="153"/>
      <c r="F62" s="37"/>
      <c r="G62" s="12"/>
      <c r="H62" s="12"/>
      <c r="I62" s="12"/>
      <c r="J62" s="12"/>
      <c r="K62" s="12"/>
      <c r="L62" s="11"/>
      <c r="M62" s="11"/>
      <c r="N62" s="11"/>
      <c r="O62" s="33"/>
      <c r="P62" s="33"/>
      <c r="Q62" s="11"/>
      <c r="R62" s="11"/>
      <c r="S62" s="11"/>
    </row>
    <row r="63" spans="1:19" ht="12.75" customHeight="1" x14ac:dyDescent="0.15">
      <c r="A63" s="9"/>
      <c r="B63" s="10"/>
      <c r="C63" s="11"/>
      <c r="D63" s="3"/>
      <c r="L63" s="11"/>
      <c r="M63" s="11"/>
      <c r="N63" s="11"/>
      <c r="Q63" s="11"/>
      <c r="R63" s="11"/>
      <c r="S63" s="11"/>
    </row>
    <row r="64" spans="1:19" s="11" customFormat="1" ht="12.75" customHeight="1" x14ac:dyDescent="0.15">
      <c r="A64" s="9"/>
      <c r="B64" s="10"/>
      <c r="D64" s="12"/>
      <c r="E64" s="153"/>
      <c r="F64" s="37"/>
      <c r="G64" s="12"/>
      <c r="H64" s="12"/>
      <c r="I64" s="12"/>
      <c r="J64" s="12"/>
      <c r="K64" s="12"/>
      <c r="O64" s="4"/>
      <c r="P64" s="4"/>
    </row>
    <row r="65" spans="1:19" ht="12.75" customHeight="1" x14ac:dyDescent="0.15">
      <c r="A65" s="9"/>
      <c r="B65" s="10"/>
      <c r="C65" s="11"/>
      <c r="D65" s="3"/>
      <c r="L65" s="35"/>
      <c r="M65" s="11"/>
      <c r="N65" s="11"/>
      <c r="O65" s="33"/>
      <c r="P65" s="33"/>
      <c r="Q65" s="11"/>
      <c r="R65" s="11"/>
      <c r="S65" s="11"/>
    </row>
    <row r="66" spans="1:19" ht="12.75" customHeight="1" x14ac:dyDescent="0.15">
      <c r="A66" s="9"/>
      <c r="B66" s="10"/>
      <c r="C66" s="11"/>
      <c r="D66" s="3"/>
      <c r="L66" s="35"/>
    </row>
    <row r="67" spans="1:19" ht="12.75" customHeight="1" x14ac:dyDescent="0.15">
      <c r="A67" s="9"/>
      <c r="B67" s="10"/>
      <c r="C67" s="11"/>
      <c r="D67" s="3"/>
      <c r="L67" s="21"/>
      <c r="M67" s="11"/>
      <c r="N67" s="11"/>
      <c r="Q67" s="11"/>
      <c r="R67" s="11"/>
      <c r="S67" s="11"/>
    </row>
    <row r="68" spans="1:19" s="11" customFormat="1" ht="12.75" customHeight="1" x14ac:dyDescent="0.15">
      <c r="A68" s="9"/>
      <c r="B68" s="10"/>
      <c r="D68" s="12"/>
      <c r="E68" s="153"/>
      <c r="F68" s="37"/>
      <c r="G68" s="12"/>
      <c r="H68" s="12"/>
      <c r="I68" s="12"/>
      <c r="J68" s="12"/>
      <c r="K68" s="12"/>
      <c r="O68" s="4"/>
      <c r="P68" s="4"/>
    </row>
    <row r="69" spans="1:19" ht="12.75" customHeight="1" x14ac:dyDescent="0.15">
      <c r="A69" s="9"/>
      <c r="B69" s="10"/>
      <c r="C69" s="11"/>
      <c r="D69" s="3"/>
      <c r="L69" s="11"/>
      <c r="M69" s="11"/>
      <c r="N69" s="11"/>
      <c r="O69" s="33"/>
      <c r="P69" s="33"/>
      <c r="Q69" s="11"/>
      <c r="R69" s="11"/>
      <c r="S69" s="11"/>
    </row>
    <row r="70" spans="1:19" ht="12.75" customHeight="1" x14ac:dyDescent="0.15">
      <c r="A70" s="9"/>
      <c r="B70" s="10"/>
      <c r="C70" s="11"/>
      <c r="D70" s="12"/>
      <c r="E70" s="153"/>
      <c r="F70" s="37"/>
      <c r="G70" s="12"/>
      <c r="H70" s="12"/>
      <c r="I70" s="12"/>
      <c r="J70" s="12"/>
      <c r="K70" s="12"/>
      <c r="L70" s="11"/>
      <c r="M70" s="29"/>
      <c r="N70" s="29"/>
      <c r="Q70" s="29"/>
      <c r="R70" s="29"/>
      <c r="S70" s="29"/>
    </row>
    <row r="71" spans="1:19" s="29" customFormat="1" ht="12.75" customHeight="1" x14ac:dyDescent="0.15">
      <c r="A71" s="9"/>
      <c r="B71" s="10"/>
      <c r="C71" s="11"/>
      <c r="D71" s="3"/>
      <c r="E71" s="154"/>
      <c r="F71" s="34"/>
      <c r="G71" s="3"/>
      <c r="H71" s="3"/>
      <c r="I71" s="3"/>
      <c r="J71" s="3"/>
      <c r="K71" s="18"/>
      <c r="L71" s="11"/>
      <c r="O71" s="4"/>
      <c r="P71" s="4"/>
    </row>
    <row r="72" spans="1:19" ht="12.75" customHeight="1" x14ac:dyDescent="0.15">
      <c r="A72" s="9"/>
      <c r="B72" s="10"/>
      <c r="C72" s="11"/>
      <c r="D72" s="12"/>
      <c r="E72" s="153"/>
      <c r="F72" s="37"/>
      <c r="G72" s="12"/>
      <c r="H72" s="12"/>
      <c r="I72" s="12"/>
      <c r="J72" s="12"/>
      <c r="K72" s="12"/>
      <c r="L72" s="11"/>
      <c r="M72" s="29"/>
      <c r="N72" s="29"/>
      <c r="O72" s="32"/>
      <c r="P72" s="32"/>
      <c r="Q72" s="29"/>
      <c r="R72" s="29"/>
      <c r="S72" s="29"/>
    </row>
    <row r="73" spans="1:19" ht="12.75" customHeight="1" x14ac:dyDescent="0.15">
      <c r="A73" s="9"/>
      <c r="B73" s="10"/>
      <c r="C73" s="11"/>
      <c r="D73" s="3"/>
      <c r="L73" s="11"/>
    </row>
    <row r="74" spans="1:19" ht="12.75" customHeight="1" x14ac:dyDescent="0.15">
      <c r="A74" s="9"/>
      <c r="B74" s="10"/>
      <c r="C74" s="11"/>
      <c r="D74" s="12"/>
      <c r="E74" s="153"/>
      <c r="F74" s="37"/>
      <c r="G74" s="12"/>
      <c r="H74" s="12"/>
      <c r="I74" s="12"/>
      <c r="J74" s="12"/>
      <c r="K74" s="12"/>
      <c r="L74" s="11"/>
    </row>
    <row r="75" spans="1:19" ht="12.75" customHeight="1" x14ac:dyDescent="0.15">
      <c r="A75" s="9"/>
      <c r="B75" s="10"/>
      <c r="C75" s="11"/>
      <c r="D75" s="3"/>
      <c r="K75" s="18"/>
      <c r="L75" s="11"/>
    </row>
    <row r="76" spans="1:19" ht="12.75" customHeight="1" x14ac:dyDescent="0.15">
      <c r="A76" s="9"/>
      <c r="B76" s="10"/>
      <c r="C76" s="11"/>
      <c r="D76" s="12"/>
      <c r="E76" s="153"/>
      <c r="F76" s="37"/>
      <c r="G76" s="12"/>
      <c r="H76" s="12"/>
      <c r="I76" s="12"/>
      <c r="J76" s="12"/>
      <c r="K76" s="12"/>
      <c r="L76" s="11"/>
    </row>
    <row r="77" spans="1:19" ht="12.75" customHeight="1" x14ac:dyDescent="0.15">
      <c r="A77" s="9"/>
      <c r="B77" s="10"/>
      <c r="C77" s="11"/>
      <c r="D77" s="3"/>
      <c r="L77" s="11"/>
    </row>
    <row r="78" spans="1:19" ht="12.75" customHeight="1" x14ac:dyDescent="0.15">
      <c r="A78" s="9"/>
      <c r="B78" s="10"/>
      <c r="C78" s="11"/>
      <c r="D78" s="12"/>
      <c r="E78" s="153"/>
      <c r="F78" s="37"/>
      <c r="G78" s="12"/>
      <c r="H78" s="12"/>
      <c r="I78" s="12"/>
      <c r="J78" s="12"/>
      <c r="K78" s="12"/>
      <c r="L78" s="11"/>
    </row>
    <row r="79" spans="1:19" ht="12.75" customHeight="1" x14ac:dyDescent="0.15">
      <c r="A79" s="9"/>
      <c r="B79" s="10"/>
      <c r="C79" s="11"/>
      <c r="D79" s="3"/>
      <c r="K79" s="12"/>
      <c r="L79" s="35"/>
    </row>
    <row r="80" spans="1:19" ht="12.75" customHeight="1" x14ac:dyDescent="0.15">
      <c r="A80" s="9"/>
      <c r="B80" s="10"/>
      <c r="C80" s="11"/>
      <c r="D80" s="3"/>
      <c r="K80" s="12"/>
      <c r="L80" s="35"/>
    </row>
    <row r="81" spans="1:12" ht="12.75" customHeight="1" x14ac:dyDescent="0.15">
      <c r="A81" s="9"/>
      <c r="B81" s="10"/>
      <c r="C81" s="11"/>
      <c r="D81" s="3"/>
      <c r="K81" s="12"/>
      <c r="L81" s="21"/>
    </row>
    <row r="82" spans="1:12" ht="12.75" customHeight="1" x14ac:dyDescent="0.15">
      <c r="A82" s="9"/>
      <c r="B82" s="10"/>
      <c r="C82" s="11"/>
      <c r="D82" s="12"/>
      <c r="E82" s="153"/>
      <c r="F82" s="37"/>
      <c r="G82" s="12"/>
      <c r="H82" s="12"/>
      <c r="I82" s="12"/>
      <c r="J82" s="12"/>
      <c r="K82" s="12"/>
      <c r="L82" s="11"/>
    </row>
    <row r="83" spans="1:12" ht="12.75" customHeight="1" x14ac:dyDescent="0.15">
      <c r="A83" s="9"/>
      <c r="B83" s="10"/>
      <c r="C83" s="11"/>
      <c r="D83" s="3"/>
      <c r="K83" s="12"/>
      <c r="L83" s="11"/>
    </row>
    <row r="84" spans="1:12" ht="12.75" customHeight="1" x14ac:dyDescent="0.15">
      <c r="A84" s="9"/>
      <c r="B84" s="10"/>
      <c r="C84" s="11"/>
      <c r="D84" s="12"/>
      <c r="E84" s="153"/>
      <c r="F84" s="37"/>
      <c r="G84" s="12"/>
      <c r="H84" s="12"/>
      <c r="I84" s="12"/>
      <c r="J84" s="12"/>
      <c r="K84" s="12"/>
      <c r="L84" s="11"/>
    </row>
    <row r="85" spans="1:12" ht="12.75" customHeight="1" x14ac:dyDescent="0.15">
      <c r="A85" s="9"/>
      <c r="B85" s="10"/>
      <c r="C85" s="11"/>
      <c r="D85" s="3"/>
      <c r="K85" s="12"/>
      <c r="L85" s="11"/>
    </row>
    <row r="86" spans="1:12" ht="12.75" customHeight="1" x14ac:dyDescent="0.15">
      <c r="A86" s="9"/>
      <c r="B86" s="10"/>
      <c r="C86" s="11"/>
      <c r="D86" s="12"/>
      <c r="E86" s="153"/>
      <c r="K86" s="12"/>
      <c r="L86" s="35"/>
    </row>
    <row r="87" spans="1:12" ht="12.75" customHeight="1" x14ac:dyDescent="0.15">
      <c r="A87" s="9"/>
      <c r="B87" s="10"/>
      <c r="C87" s="11"/>
      <c r="D87" s="3"/>
      <c r="K87" s="12"/>
      <c r="L87" s="35"/>
    </row>
    <row r="88" spans="1:12" ht="12.75" customHeight="1" x14ac:dyDescent="0.15">
      <c r="A88" s="9"/>
      <c r="B88" s="10"/>
      <c r="C88" s="11"/>
      <c r="D88" s="3"/>
      <c r="K88" s="12"/>
      <c r="L88" s="35"/>
    </row>
    <row r="89" spans="1:12" ht="12.75" customHeight="1" x14ac:dyDescent="0.15">
      <c r="A89" s="9"/>
      <c r="B89" s="10"/>
      <c r="C89" s="11"/>
      <c r="D89" s="3"/>
      <c r="K89" s="12"/>
      <c r="L89" s="21"/>
    </row>
    <row r="90" spans="1:12" ht="12.75" customHeight="1" x14ac:dyDescent="0.15">
      <c r="A90" s="9"/>
      <c r="B90" s="10"/>
      <c r="C90" s="11"/>
      <c r="D90" s="12"/>
      <c r="E90" s="153"/>
      <c r="F90" s="37"/>
      <c r="G90" s="12"/>
      <c r="H90" s="12"/>
      <c r="I90" s="12"/>
      <c r="J90" s="12"/>
      <c r="K90" s="12"/>
      <c r="L90" s="11"/>
    </row>
    <row r="91" spans="1:12" ht="12.75" customHeight="1" x14ac:dyDescent="0.15">
      <c r="A91" s="9"/>
      <c r="B91" s="10"/>
      <c r="C91" s="11"/>
      <c r="D91" s="3"/>
      <c r="K91" s="12"/>
      <c r="L91" s="11"/>
    </row>
    <row r="92" spans="1:12" ht="12.75" customHeight="1" x14ac:dyDescent="0.15">
      <c r="A92" s="9"/>
      <c r="B92" s="10"/>
      <c r="C92" s="11"/>
      <c r="D92" s="12"/>
      <c r="E92" s="153"/>
      <c r="F92" s="37"/>
      <c r="G92" s="12"/>
      <c r="H92" s="12"/>
      <c r="I92" s="12"/>
      <c r="J92" s="12"/>
      <c r="K92" s="12"/>
      <c r="L92" s="11"/>
    </row>
    <row r="93" spans="1:12" ht="12.75" customHeight="1" x14ac:dyDescent="0.15">
      <c r="A93" s="9"/>
      <c r="B93" s="10"/>
      <c r="C93" s="11"/>
      <c r="D93" s="3"/>
      <c r="K93" s="18"/>
      <c r="L93" s="11"/>
    </row>
    <row r="94" spans="1:12" ht="12.75" customHeight="1" x14ac:dyDescent="0.15">
      <c r="A94" s="9"/>
      <c r="B94" s="10"/>
      <c r="C94" s="11"/>
      <c r="D94" s="12"/>
      <c r="E94" s="153"/>
      <c r="F94" s="37"/>
      <c r="G94" s="12"/>
      <c r="H94" s="12"/>
      <c r="I94" s="12"/>
      <c r="J94" s="12"/>
      <c r="K94" s="12"/>
      <c r="L94" s="11"/>
    </row>
    <row r="95" spans="1:12" ht="12.75" customHeight="1" x14ac:dyDescent="0.15">
      <c r="A95" s="9"/>
      <c r="B95" s="10"/>
      <c r="C95" s="11"/>
      <c r="D95" s="3"/>
      <c r="L95" s="11"/>
    </row>
    <row r="96" spans="1:12" ht="12.75" customHeight="1" x14ac:dyDescent="0.15">
      <c r="A96" s="9"/>
      <c r="B96" s="10"/>
      <c r="C96" s="11"/>
      <c r="D96" s="12"/>
      <c r="E96" s="153"/>
      <c r="F96" s="37"/>
      <c r="G96" s="12"/>
      <c r="H96" s="12"/>
      <c r="I96" s="12"/>
      <c r="J96" s="12"/>
      <c r="K96" s="12"/>
      <c r="L96" s="11"/>
    </row>
    <row r="97" spans="1:12" ht="12.75" customHeight="1" x14ac:dyDescent="0.15">
      <c r="A97" s="9"/>
      <c r="B97" s="10"/>
      <c r="C97" s="11"/>
      <c r="D97" s="3"/>
      <c r="K97" s="12"/>
      <c r="L97" s="35"/>
    </row>
    <row r="98" spans="1:12" ht="12.75" customHeight="1" x14ac:dyDescent="0.15">
      <c r="A98" s="9"/>
      <c r="B98" s="10"/>
      <c r="C98" s="11"/>
      <c r="D98" s="3"/>
      <c r="K98" s="12"/>
      <c r="L98" s="35"/>
    </row>
    <row r="99" spans="1:12" ht="12.75" customHeight="1" x14ac:dyDescent="0.15">
      <c r="A99" s="9"/>
      <c r="B99" s="10"/>
      <c r="C99" s="11"/>
      <c r="D99" s="3"/>
      <c r="K99" s="12"/>
      <c r="L99" s="21"/>
    </row>
    <row r="100" spans="1:12" ht="12.75" customHeight="1" x14ac:dyDescent="0.15">
      <c r="A100" s="9"/>
      <c r="B100" s="10"/>
      <c r="C100" s="11"/>
      <c r="D100" s="12"/>
      <c r="E100" s="153"/>
      <c r="F100" s="37"/>
      <c r="G100" s="12"/>
      <c r="H100" s="12"/>
      <c r="I100" s="12"/>
      <c r="J100" s="12"/>
      <c r="K100" s="12"/>
      <c r="L100" s="11"/>
    </row>
    <row r="101" spans="1:12" ht="12.75" customHeight="1" x14ac:dyDescent="0.15">
      <c r="A101" s="9"/>
      <c r="B101" s="10"/>
      <c r="C101" s="11"/>
      <c r="D101" s="3"/>
      <c r="K101" s="12"/>
      <c r="L101" s="11"/>
    </row>
    <row r="102" spans="1:12" ht="12.75" customHeight="1" x14ac:dyDescent="0.15">
      <c r="A102" s="9"/>
      <c r="B102" s="10"/>
      <c r="C102" s="11"/>
      <c r="D102" s="12"/>
      <c r="E102" s="153"/>
      <c r="F102" s="37"/>
      <c r="G102" s="12"/>
      <c r="H102" s="12"/>
      <c r="I102" s="12"/>
      <c r="J102" s="12"/>
      <c r="K102" s="12"/>
      <c r="L102" s="11"/>
    </row>
    <row r="103" spans="1:12" ht="12.75" customHeight="1" x14ac:dyDescent="0.15">
      <c r="A103" s="9"/>
      <c r="B103" s="10"/>
      <c r="C103" s="11"/>
      <c r="D103" s="3"/>
      <c r="K103" s="12"/>
      <c r="L103" s="11"/>
    </row>
    <row r="104" spans="1:12" ht="12.75" customHeight="1" x14ac:dyDescent="0.15">
      <c r="A104" s="9"/>
      <c r="B104" s="10"/>
      <c r="C104" s="11"/>
      <c r="D104" s="12"/>
      <c r="E104" s="153"/>
      <c r="K104" s="12"/>
      <c r="L104" s="35"/>
    </row>
    <row r="105" spans="1:12" ht="12.75" customHeight="1" x14ac:dyDescent="0.15">
      <c r="A105" s="9"/>
      <c r="B105" s="10"/>
      <c r="C105" s="11"/>
      <c r="D105" s="3"/>
      <c r="K105" s="18"/>
      <c r="L105" s="11"/>
    </row>
    <row r="106" spans="1:12" ht="12.75" customHeight="1" x14ac:dyDescent="0.15">
      <c r="A106" s="9"/>
      <c r="B106" s="10"/>
      <c r="C106" s="11"/>
      <c r="D106" s="12"/>
      <c r="E106" s="153"/>
      <c r="F106" s="37"/>
      <c r="G106" s="12"/>
      <c r="H106" s="12"/>
      <c r="I106" s="12"/>
      <c r="J106" s="12"/>
      <c r="K106" s="12"/>
      <c r="L106" s="11"/>
    </row>
    <row r="107" spans="1:12" ht="12.75" customHeight="1" x14ac:dyDescent="0.15">
      <c r="A107" s="9"/>
      <c r="B107" s="10"/>
      <c r="C107" s="11"/>
      <c r="D107" s="3"/>
      <c r="L107" s="11"/>
    </row>
    <row r="108" spans="1:12" ht="12.75" customHeight="1" x14ac:dyDescent="0.15">
      <c r="A108" s="9"/>
      <c r="B108" s="10"/>
      <c r="C108" s="11"/>
      <c r="D108" s="12"/>
      <c r="E108" s="153"/>
      <c r="F108" s="37"/>
      <c r="G108" s="12"/>
      <c r="H108" s="12"/>
      <c r="I108" s="12"/>
      <c r="J108" s="12"/>
      <c r="K108" s="12"/>
      <c r="L108" s="11"/>
    </row>
    <row r="109" spans="1:12" ht="12.75" customHeight="1" x14ac:dyDescent="0.15">
      <c r="A109" s="9"/>
      <c r="B109" s="10"/>
      <c r="C109" s="11"/>
      <c r="D109" s="3"/>
      <c r="K109" s="12"/>
      <c r="L109" s="35"/>
    </row>
    <row r="110" spans="1:12" ht="12.75" customHeight="1" x14ac:dyDescent="0.15">
      <c r="A110" s="9"/>
      <c r="B110" s="10"/>
      <c r="C110" s="11"/>
      <c r="D110" s="3"/>
      <c r="K110" s="12"/>
      <c r="L110" s="35"/>
    </row>
    <row r="111" spans="1:12" ht="12.75" customHeight="1" x14ac:dyDescent="0.15">
      <c r="A111" s="9"/>
      <c r="B111" s="10"/>
      <c r="C111" s="11"/>
      <c r="D111" s="3"/>
      <c r="K111" s="12"/>
      <c r="L111" s="21"/>
    </row>
    <row r="112" spans="1:12" ht="12.75" customHeight="1" x14ac:dyDescent="0.15">
      <c r="A112" s="9"/>
      <c r="B112" s="10"/>
      <c r="C112" s="11"/>
      <c r="D112" s="12"/>
      <c r="E112" s="153"/>
      <c r="F112" s="37"/>
      <c r="G112" s="12"/>
      <c r="H112" s="12"/>
      <c r="I112" s="12"/>
      <c r="J112" s="12"/>
      <c r="K112" s="12"/>
      <c r="L112" s="11"/>
    </row>
    <row r="113" spans="1:12" ht="12.75" customHeight="1" x14ac:dyDescent="0.15">
      <c r="A113" s="9"/>
      <c r="B113" s="10"/>
      <c r="C113" s="11"/>
      <c r="D113" s="3"/>
      <c r="K113" s="12"/>
      <c r="L113" s="11"/>
    </row>
    <row r="114" spans="1:12" ht="12.75" customHeight="1" x14ac:dyDescent="0.15">
      <c r="A114" s="9"/>
      <c r="B114" s="10"/>
      <c r="C114" s="11"/>
      <c r="D114" s="12"/>
      <c r="E114" s="153"/>
      <c r="F114" s="37"/>
      <c r="G114" s="12"/>
      <c r="H114" s="12"/>
      <c r="I114" s="12"/>
      <c r="J114" s="12"/>
      <c r="K114" s="12"/>
      <c r="L114" s="11"/>
    </row>
    <row r="115" spans="1:12" ht="12.75" customHeight="1" x14ac:dyDescent="0.15">
      <c r="A115" s="9"/>
      <c r="B115" s="10"/>
      <c r="C115" s="11"/>
      <c r="D115" s="3"/>
      <c r="K115" s="12"/>
      <c r="L115" s="11"/>
    </row>
    <row r="116" spans="1:12" ht="12.75" customHeight="1" x14ac:dyDescent="0.15">
      <c r="A116" s="9"/>
      <c r="B116" s="10"/>
      <c r="C116" s="11"/>
      <c r="D116" s="3"/>
      <c r="K116" s="18"/>
      <c r="L116" s="11"/>
    </row>
    <row r="117" spans="1:12" ht="12.75" customHeight="1" x14ac:dyDescent="0.15">
      <c r="A117" s="9"/>
      <c r="B117" s="10"/>
      <c r="C117" s="11"/>
      <c r="D117" s="12"/>
      <c r="E117" s="153"/>
      <c r="F117" s="37"/>
      <c r="G117" s="12"/>
      <c r="H117" s="12"/>
      <c r="I117" s="12"/>
      <c r="J117" s="12"/>
      <c r="K117" s="12"/>
      <c r="L117" s="11"/>
    </row>
    <row r="118" spans="1:12" ht="12.75" customHeight="1" x14ac:dyDescent="0.15">
      <c r="A118" s="9"/>
      <c r="B118" s="10"/>
      <c r="C118" s="11"/>
      <c r="D118" s="3"/>
      <c r="L118" s="11"/>
    </row>
    <row r="119" spans="1:12" ht="12.75" customHeight="1" x14ac:dyDescent="0.15">
      <c r="A119" s="9"/>
      <c r="B119" s="10"/>
      <c r="C119" s="11"/>
      <c r="D119" s="12"/>
      <c r="E119" s="153"/>
      <c r="F119" s="37"/>
      <c r="G119" s="12"/>
      <c r="H119" s="12"/>
      <c r="I119" s="12"/>
      <c r="J119" s="12"/>
      <c r="K119" s="12"/>
      <c r="L119" s="11"/>
    </row>
    <row r="120" spans="1:12" ht="12.75" customHeight="1" x14ac:dyDescent="0.15">
      <c r="A120" s="9"/>
      <c r="B120" s="10"/>
      <c r="C120" s="11"/>
      <c r="D120" s="3"/>
      <c r="K120" s="12"/>
      <c r="L120" s="35"/>
    </row>
    <row r="121" spans="1:12" ht="12.75" customHeight="1" x14ac:dyDescent="0.15">
      <c r="A121" s="9"/>
      <c r="B121" s="10"/>
      <c r="C121" s="11"/>
      <c r="D121" s="3"/>
      <c r="K121" s="12"/>
      <c r="L121" s="35"/>
    </row>
    <row r="122" spans="1:12" ht="12.75" customHeight="1" x14ac:dyDescent="0.15">
      <c r="A122" s="9"/>
      <c r="B122" s="10"/>
      <c r="C122" s="11"/>
      <c r="D122" s="3"/>
      <c r="K122" s="12"/>
      <c r="L122" s="21"/>
    </row>
    <row r="123" spans="1:12" ht="12.75" customHeight="1" x14ac:dyDescent="0.15">
      <c r="A123" s="9"/>
      <c r="B123" s="10"/>
      <c r="C123" s="11"/>
      <c r="D123" s="12"/>
      <c r="E123" s="153"/>
      <c r="F123" s="37"/>
      <c r="G123" s="12"/>
      <c r="H123" s="12"/>
      <c r="I123" s="12"/>
      <c r="J123" s="12"/>
      <c r="K123" s="12"/>
      <c r="L123" s="35"/>
    </row>
    <row r="124" spans="1:12" ht="12.75" customHeight="1" x14ac:dyDescent="0.15">
      <c r="A124" s="9"/>
      <c r="B124" s="10"/>
      <c r="C124" s="11"/>
      <c r="D124" s="12"/>
      <c r="E124" s="153"/>
      <c r="F124" s="37"/>
      <c r="G124" s="12"/>
      <c r="H124" s="12"/>
      <c r="I124" s="12"/>
      <c r="J124" s="12"/>
      <c r="K124" s="12"/>
      <c r="L124" s="35"/>
    </row>
    <row r="125" spans="1:12" ht="12.75" customHeight="1" x14ac:dyDescent="0.15">
      <c r="A125" s="9"/>
      <c r="B125" s="10"/>
      <c r="C125" s="11"/>
      <c r="D125" s="12"/>
      <c r="E125" s="153"/>
      <c r="F125" s="37"/>
      <c r="G125" s="12"/>
      <c r="H125" s="12"/>
      <c r="I125" s="12"/>
      <c r="J125" s="12"/>
      <c r="K125" s="12"/>
      <c r="L125" s="35"/>
    </row>
    <row r="126" spans="1:12" ht="12.75" customHeight="1" x14ac:dyDescent="0.15">
      <c r="A126" s="9"/>
      <c r="B126" s="11"/>
      <c r="C126" s="11"/>
      <c r="D126" s="3"/>
      <c r="L126" s="11"/>
    </row>
    <row r="127" spans="1:12" ht="12.75" customHeight="1" x14ac:dyDescent="0.15">
      <c r="A127" s="9"/>
      <c r="B127" s="10"/>
      <c r="C127" s="11"/>
      <c r="D127" s="12"/>
      <c r="E127" s="153"/>
      <c r="F127" s="37"/>
      <c r="G127" s="12"/>
      <c r="H127" s="12"/>
      <c r="I127" s="12"/>
      <c r="J127" s="12"/>
      <c r="K127" s="12"/>
      <c r="L127" s="11"/>
    </row>
    <row r="128" spans="1:12" ht="12.75" customHeight="1" x14ac:dyDescent="0.15">
      <c r="A128" s="9"/>
      <c r="B128" s="10"/>
      <c r="C128" s="11"/>
      <c r="D128" s="3"/>
      <c r="K128" s="18"/>
      <c r="L128" s="11"/>
    </row>
    <row r="129" spans="1:12" ht="12.75" customHeight="1" x14ac:dyDescent="0.15">
      <c r="A129" s="9"/>
      <c r="B129" s="10"/>
      <c r="C129" s="11"/>
      <c r="D129" s="12"/>
      <c r="E129" s="153"/>
      <c r="F129" s="37"/>
      <c r="G129" s="12"/>
      <c r="H129" s="12"/>
      <c r="I129" s="12"/>
      <c r="J129" s="12"/>
      <c r="K129" s="12"/>
      <c r="L129" s="11"/>
    </row>
    <row r="130" spans="1:12" ht="12.75" customHeight="1" x14ac:dyDescent="0.15">
      <c r="A130" s="9"/>
      <c r="B130" s="10"/>
      <c r="C130" s="11"/>
      <c r="D130" s="3"/>
      <c r="L130" s="11"/>
    </row>
    <row r="131" spans="1:12" ht="12.75" customHeight="1" x14ac:dyDescent="0.15">
      <c r="A131" s="9"/>
      <c r="B131" s="10"/>
      <c r="C131" s="11"/>
      <c r="D131" s="12"/>
      <c r="E131" s="153"/>
      <c r="F131" s="37"/>
      <c r="G131" s="12"/>
      <c r="H131" s="12"/>
      <c r="I131" s="12"/>
      <c r="J131" s="12"/>
      <c r="K131" s="12"/>
      <c r="L131" s="11"/>
    </row>
    <row r="132" spans="1:12" ht="12.75" customHeight="1" x14ac:dyDescent="0.15">
      <c r="A132" s="9"/>
      <c r="B132" s="10"/>
      <c r="C132" s="11"/>
      <c r="D132" s="3"/>
      <c r="K132" s="12"/>
      <c r="L132" s="35"/>
    </row>
    <row r="133" spans="1:12" ht="12.75" customHeight="1" x14ac:dyDescent="0.15">
      <c r="A133" s="9"/>
      <c r="B133" s="10"/>
      <c r="C133" s="11"/>
      <c r="D133" s="3"/>
      <c r="K133" s="12"/>
      <c r="L133" s="35"/>
    </row>
    <row r="134" spans="1:12" ht="12.75" customHeight="1" x14ac:dyDescent="0.15">
      <c r="A134" s="9"/>
      <c r="B134" s="10"/>
      <c r="C134" s="11"/>
      <c r="D134" s="3"/>
      <c r="K134" s="12"/>
      <c r="L134" s="21"/>
    </row>
    <row r="135" spans="1:12" ht="12.75" customHeight="1" x14ac:dyDescent="0.15">
      <c r="A135" s="9"/>
      <c r="B135" s="10"/>
      <c r="C135" s="11"/>
      <c r="D135" s="12"/>
      <c r="E135" s="153"/>
      <c r="F135" s="37"/>
      <c r="G135" s="12"/>
      <c r="H135" s="12"/>
      <c r="I135" s="12"/>
      <c r="J135" s="12"/>
      <c r="K135" s="12"/>
      <c r="L135" s="11"/>
    </row>
    <row r="136" spans="1:12" ht="12.75" customHeight="1" x14ac:dyDescent="0.15">
      <c r="A136" s="9"/>
      <c r="B136" s="10"/>
      <c r="C136" s="11"/>
      <c r="D136" s="3"/>
      <c r="K136" s="12"/>
      <c r="L136" s="11"/>
    </row>
    <row r="137" spans="1:12" ht="12.75" customHeight="1" x14ac:dyDescent="0.15">
      <c r="A137" s="9"/>
      <c r="B137" s="10"/>
      <c r="C137" s="11"/>
      <c r="D137" s="12"/>
      <c r="E137" s="153"/>
      <c r="F137" s="37"/>
      <c r="G137" s="12"/>
      <c r="H137" s="12"/>
      <c r="I137" s="12"/>
      <c r="J137" s="12"/>
      <c r="K137" s="12"/>
      <c r="L137" s="11"/>
    </row>
    <row r="138" spans="1:12" ht="12.75" customHeight="1" x14ac:dyDescent="0.15">
      <c r="A138" s="9"/>
      <c r="B138" s="10"/>
      <c r="C138" s="11"/>
      <c r="D138" s="3"/>
      <c r="K138" s="12"/>
      <c r="L138" s="11"/>
    </row>
    <row r="139" spans="1:12" ht="12.75" customHeight="1" x14ac:dyDescent="0.15">
      <c r="A139" s="9"/>
      <c r="B139" s="10"/>
      <c r="C139" s="11"/>
      <c r="D139" s="12"/>
      <c r="E139" s="153"/>
      <c r="K139" s="12"/>
      <c r="L139" s="35"/>
    </row>
    <row r="140" spans="1:12" ht="12.75" customHeight="1" x14ac:dyDescent="0.15">
      <c r="A140" s="9"/>
      <c r="B140" s="10"/>
      <c r="C140" s="11"/>
      <c r="D140" s="3"/>
      <c r="E140" s="153"/>
      <c r="H140" s="12"/>
      <c r="K140" s="12"/>
      <c r="L140" s="19"/>
    </row>
    <row r="141" spans="1:12" ht="12.75" customHeight="1" x14ac:dyDescent="0.15">
      <c r="A141" s="9"/>
      <c r="B141" s="10"/>
      <c r="C141" s="11"/>
      <c r="D141" s="3"/>
      <c r="K141" s="12"/>
      <c r="L141" s="19"/>
    </row>
    <row r="142" spans="1:12" ht="12.75" customHeight="1" x14ac:dyDescent="0.15">
      <c r="A142" s="9"/>
      <c r="B142" s="10"/>
      <c r="C142" s="11"/>
      <c r="D142" s="3"/>
      <c r="L142" s="21"/>
    </row>
    <row r="143" spans="1:12" ht="12.75" customHeight="1" x14ac:dyDescent="0.15">
      <c r="A143" s="9"/>
      <c r="B143" s="10"/>
      <c r="C143" s="11"/>
      <c r="D143" s="12"/>
      <c r="E143" s="153"/>
      <c r="L143" s="35"/>
    </row>
    <row r="144" spans="1:12" ht="12.75" customHeight="1" x14ac:dyDescent="0.15">
      <c r="A144" s="9"/>
      <c r="B144" s="10"/>
      <c r="C144" s="11"/>
      <c r="D144" s="12"/>
      <c r="E144" s="153"/>
      <c r="F144" s="37"/>
      <c r="G144" s="12"/>
      <c r="H144" s="12"/>
      <c r="I144" s="12"/>
      <c r="J144" s="12"/>
      <c r="K144" s="18"/>
      <c r="L144" s="21"/>
    </row>
    <row r="145" spans="1:12" ht="12.75" customHeight="1" x14ac:dyDescent="0.15">
      <c r="A145" s="9"/>
      <c r="B145" s="10"/>
      <c r="C145" s="11"/>
      <c r="D145" s="3"/>
      <c r="K145" s="18"/>
      <c r="L145" s="21"/>
    </row>
    <row r="146" spans="1:12" ht="12.75" customHeight="1" x14ac:dyDescent="0.15">
      <c r="A146" s="9"/>
      <c r="B146" s="10"/>
      <c r="C146" s="11"/>
      <c r="D146" s="3"/>
      <c r="E146" s="153"/>
      <c r="G146" s="12"/>
      <c r="H146" s="12"/>
      <c r="I146" s="12"/>
      <c r="J146" s="12"/>
      <c r="K146" s="18"/>
      <c r="L146" s="11"/>
    </row>
    <row r="147" spans="1:12" ht="12.75" customHeight="1" x14ac:dyDescent="0.15">
      <c r="A147" s="9"/>
      <c r="B147" s="10"/>
      <c r="C147" s="11"/>
      <c r="D147" s="12"/>
      <c r="E147" s="153"/>
      <c r="F147" s="37"/>
      <c r="G147" s="12"/>
      <c r="H147" s="12"/>
      <c r="I147" s="12"/>
      <c r="J147" s="12"/>
      <c r="K147" s="12"/>
      <c r="L147" s="11"/>
    </row>
    <row r="148" spans="1:12" ht="12.75" customHeight="1" x14ac:dyDescent="0.15">
      <c r="A148" s="9"/>
      <c r="B148" s="10"/>
      <c r="C148" s="11"/>
      <c r="D148" s="12"/>
      <c r="E148" s="153"/>
      <c r="F148" s="37"/>
      <c r="G148" s="12"/>
      <c r="H148" s="12"/>
      <c r="I148" s="12"/>
      <c r="J148" s="12"/>
      <c r="K148" s="12"/>
      <c r="L148" s="11"/>
    </row>
    <row r="149" spans="1:12" ht="12.75" customHeight="1" x14ac:dyDescent="0.15">
      <c r="A149" s="9"/>
      <c r="B149" s="10"/>
      <c r="C149" s="11"/>
      <c r="D149" s="12"/>
      <c r="E149" s="153"/>
      <c r="F149" s="37"/>
      <c r="G149" s="12"/>
      <c r="H149" s="12"/>
      <c r="I149" s="12"/>
      <c r="J149" s="12"/>
      <c r="K149" s="12"/>
      <c r="L149" s="11"/>
    </row>
    <row r="150" spans="1:12" ht="12.75" customHeight="1" x14ac:dyDescent="0.15">
      <c r="A150" s="9"/>
      <c r="B150" s="10"/>
      <c r="C150" s="11"/>
      <c r="D150" s="12"/>
      <c r="E150" s="153"/>
      <c r="F150" s="37"/>
      <c r="G150" s="12"/>
      <c r="H150" s="12"/>
      <c r="I150" s="12"/>
      <c r="J150" s="12"/>
      <c r="K150" s="12"/>
      <c r="L150" s="11"/>
    </row>
    <row r="151" spans="1:12" ht="12.75" customHeight="1" x14ac:dyDescent="0.15">
      <c r="A151" s="9"/>
      <c r="B151" s="10"/>
      <c r="C151" s="11"/>
      <c r="D151" s="3"/>
      <c r="L151" s="35"/>
    </row>
    <row r="152" spans="1:12" ht="12.75" customHeight="1" x14ac:dyDescent="0.15">
      <c r="A152" s="9"/>
      <c r="B152" s="11"/>
      <c r="C152" s="11"/>
      <c r="D152" s="3"/>
      <c r="L152" s="11"/>
    </row>
    <row r="153" spans="1:12" ht="12.75" customHeight="1" x14ac:dyDescent="0.15">
      <c r="A153" s="9"/>
      <c r="B153" s="10"/>
      <c r="C153" s="11"/>
      <c r="D153" s="12"/>
      <c r="E153" s="153"/>
      <c r="F153" s="37"/>
      <c r="G153" s="12"/>
      <c r="H153" s="12"/>
      <c r="I153" s="12"/>
      <c r="J153" s="12"/>
      <c r="K153" s="12"/>
      <c r="L153" s="11"/>
    </row>
    <row r="154" spans="1:12" ht="12.75" customHeight="1" x14ac:dyDescent="0.15">
      <c r="A154" s="9"/>
      <c r="B154" s="10"/>
      <c r="C154" s="11"/>
      <c r="D154" s="3"/>
      <c r="L154" s="11"/>
    </row>
    <row r="155" spans="1:12" ht="12.75" customHeight="1" x14ac:dyDescent="0.15">
      <c r="A155" s="9"/>
      <c r="B155" s="10"/>
      <c r="C155" s="11"/>
      <c r="D155" s="3"/>
      <c r="L155" s="11"/>
    </row>
    <row r="156" spans="1:12" ht="12.75" customHeight="1" x14ac:dyDescent="0.15">
      <c r="A156" s="9"/>
      <c r="B156" s="10"/>
      <c r="C156" s="11"/>
      <c r="D156" s="3"/>
      <c r="L156" s="11"/>
    </row>
    <row r="157" spans="1:12" ht="12.75" customHeight="1" x14ac:dyDescent="0.15">
      <c r="A157" s="9"/>
      <c r="B157" s="10"/>
      <c r="C157" s="11"/>
      <c r="D157" s="3"/>
      <c r="L157" s="11"/>
    </row>
    <row r="158" spans="1:12" ht="12.75" customHeight="1" x14ac:dyDescent="0.15">
      <c r="A158" s="9"/>
      <c r="B158" s="10"/>
      <c r="C158" s="11"/>
      <c r="D158" s="3"/>
      <c r="L158" s="11"/>
    </row>
    <row r="159" spans="1:12" ht="12.75" customHeight="1" x14ac:dyDescent="0.15">
      <c r="A159" s="9"/>
      <c r="D159" s="3"/>
    </row>
    <row r="160" spans="1:12" ht="12.75" customHeight="1" x14ac:dyDescent="0.15">
      <c r="A160" s="9"/>
      <c r="D160" s="3"/>
    </row>
    <row r="161" spans="1:4" ht="12.75" customHeight="1" x14ac:dyDescent="0.15">
      <c r="A161" s="9"/>
      <c r="D161" s="3"/>
    </row>
    <row r="162" spans="1:4" ht="12.75" customHeight="1" x14ac:dyDescent="0.15">
      <c r="A162" s="41"/>
      <c r="D162" s="3"/>
    </row>
    <row r="163" spans="1:4" ht="12.75" customHeight="1" x14ac:dyDescent="0.15">
      <c r="A163" s="41"/>
      <c r="D163" s="3"/>
    </row>
    <row r="164" spans="1:4" ht="12.75" customHeight="1" x14ac:dyDescent="0.15">
      <c r="D164" s="3"/>
    </row>
    <row r="165" spans="1:4" ht="12.75" customHeight="1" x14ac:dyDescent="0.15">
      <c r="D165" s="3"/>
    </row>
    <row r="166" spans="1:4" ht="12.75" customHeight="1" x14ac:dyDescent="0.15">
      <c r="D166" s="3"/>
    </row>
    <row r="167" spans="1:4" ht="12.75" customHeight="1" x14ac:dyDescent="0.15">
      <c r="D167" s="3"/>
    </row>
    <row r="168" spans="1:4" ht="12.75" customHeight="1" x14ac:dyDescent="0.15">
      <c r="D168" s="3"/>
    </row>
    <row r="169" spans="1:4" ht="12.75" customHeight="1" x14ac:dyDescent="0.15">
      <c r="D169" s="3"/>
    </row>
    <row r="170" spans="1:4" ht="12.75" customHeight="1" x14ac:dyDescent="0.15">
      <c r="D170" s="3"/>
    </row>
    <row r="171" spans="1:4" ht="12.75" customHeight="1" x14ac:dyDescent="0.15">
      <c r="D171" s="3"/>
    </row>
    <row r="172" spans="1:4" ht="12.75" customHeight="1" x14ac:dyDescent="0.15">
      <c r="D172" s="3"/>
    </row>
    <row r="173" spans="1:4" ht="12.75" customHeight="1" x14ac:dyDescent="0.15">
      <c r="D173" s="3"/>
    </row>
    <row r="174" spans="1:4" ht="12.75" customHeight="1" x14ac:dyDescent="0.15">
      <c r="D174" s="3"/>
    </row>
    <row r="175" spans="1:4" ht="12.75" customHeight="1" x14ac:dyDescent="0.15">
      <c r="D175" s="3"/>
    </row>
    <row r="176" spans="1:4" ht="12.75" customHeight="1" x14ac:dyDescent="0.15">
      <c r="D176" s="3"/>
    </row>
    <row r="177" spans="4:4" ht="12.75" customHeight="1" x14ac:dyDescent="0.15">
      <c r="D177" s="3"/>
    </row>
    <row r="178" spans="4:4" ht="12.75" customHeight="1" x14ac:dyDescent="0.15">
      <c r="D178" s="3"/>
    </row>
    <row r="179" spans="4:4" ht="12.75" customHeight="1" x14ac:dyDescent="0.15">
      <c r="D179" s="3"/>
    </row>
    <row r="180" spans="4:4" ht="12.75" customHeight="1" x14ac:dyDescent="0.15">
      <c r="D180" s="3"/>
    </row>
    <row r="181" spans="4:4" ht="12.75" customHeight="1" x14ac:dyDescent="0.15">
      <c r="D181" s="3"/>
    </row>
    <row r="182" spans="4:4" ht="12.75" customHeight="1" x14ac:dyDescent="0.15">
      <c r="D182" s="3"/>
    </row>
    <row r="183" spans="4:4" ht="12.75" customHeight="1" x14ac:dyDescent="0.15">
      <c r="D183" s="3"/>
    </row>
    <row r="184" spans="4:4" ht="12.75" customHeight="1" x14ac:dyDescent="0.15">
      <c r="D184" s="3"/>
    </row>
    <row r="185" spans="4:4" ht="12.75" customHeight="1" x14ac:dyDescent="0.15">
      <c r="D185" s="3"/>
    </row>
    <row r="186" spans="4:4" ht="12.75" customHeight="1" x14ac:dyDescent="0.15">
      <c r="D186" s="3"/>
    </row>
    <row r="187" spans="4:4" ht="12.75" customHeight="1" x14ac:dyDescent="0.15">
      <c r="D187" s="3"/>
    </row>
    <row r="188" spans="4:4" ht="12.75" customHeight="1" x14ac:dyDescent="0.15">
      <c r="D188" s="3"/>
    </row>
    <row r="189" spans="4:4" ht="12.75" customHeight="1" x14ac:dyDescent="0.15">
      <c r="D189" s="3"/>
    </row>
    <row r="190" spans="4:4" ht="12.75" customHeight="1" x14ac:dyDescent="0.15">
      <c r="D190" s="3"/>
    </row>
    <row r="191" spans="4:4" ht="12.75" customHeight="1" x14ac:dyDescent="0.15">
      <c r="D191" s="3"/>
    </row>
    <row r="192" spans="4:4" ht="12.75" customHeight="1" x14ac:dyDescent="0.15">
      <c r="D192" s="3"/>
    </row>
    <row r="193" spans="4:4" ht="12.75" customHeight="1" x14ac:dyDescent="0.15">
      <c r="D193" s="3"/>
    </row>
    <row r="194" spans="4:4" ht="12.75" customHeight="1" x14ac:dyDescent="0.15">
      <c r="D194" s="3"/>
    </row>
    <row r="195" spans="4:4" ht="12.75" customHeight="1" x14ac:dyDescent="0.15">
      <c r="D195" s="3"/>
    </row>
    <row r="196" spans="4:4" ht="12.75" customHeight="1" x14ac:dyDescent="0.15">
      <c r="D196" s="3"/>
    </row>
    <row r="197" spans="4:4" ht="12.75" customHeight="1" x14ac:dyDescent="0.15">
      <c r="D197" s="3"/>
    </row>
    <row r="198" spans="4:4" ht="12.75" customHeight="1" x14ac:dyDescent="0.15">
      <c r="D198" s="3"/>
    </row>
    <row r="199" spans="4:4" ht="12.75" customHeight="1" x14ac:dyDescent="0.15">
      <c r="D199" s="3"/>
    </row>
    <row r="200" spans="4:4" ht="12.75" customHeight="1" x14ac:dyDescent="0.15">
      <c r="D200" s="3"/>
    </row>
    <row r="201" spans="4:4" ht="12.75" customHeight="1" x14ac:dyDescent="0.15">
      <c r="D201" s="3"/>
    </row>
    <row r="202" spans="4:4" ht="12.75" customHeight="1" x14ac:dyDescent="0.15">
      <c r="D202" s="3"/>
    </row>
    <row r="203" spans="4:4" ht="12.75" customHeight="1" x14ac:dyDescent="0.15">
      <c r="D203" s="3"/>
    </row>
    <row r="204" spans="4:4" ht="12.75" customHeight="1" x14ac:dyDescent="0.15">
      <c r="D204" s="3"/>
    </row>
    <row r="205" spans="4:4" ht="12.75" customHeight="1" x14ac:dyDescent="0.15">
      <c r="D205" s="3"/>
    </row>
    <row r="206" spans="4:4" ht="12.75" customHeight="1" x14ac:dyDescent="0.15">
      <c r="D206" s="3"/>
    </row>
    <row r="207" spans="4:4" ht="12.75" customHeight="1" x14ac:dyDescent="0.15">
      <c r="D207" s="3"/>
    </row>
    <row r="208" spans="4:4" ht="12.75" customHeight="1" x14ac:dyDescent="0.15">
      <c r="D208" s="3"/>
    </row>
    <row r="209" spans="4:4" ht="12.75" customHeight="1" x14ac:dyDescent="0.15">
      <c r="D209" s="3"/>
    </row>
    <row r="210" spans="4:4" ht="12.75" customHeight="1" x14ac:dyDescent="0.15">
      <c r="D210" s="3"/>
    </row>
    <row r="211" spans="4:4" ht="12.75" customHeight="1" x14ac:dyDescent="0.15">
      <c r="D211" s="3"/>
    </row>
    <row r="212" spans="4:4" ht="12.75" customHeight="1" x14ac:dyDescent="0.15">
      <c r="D212" s="3"/>
    </row>
    <row r="213" spans="4:4" ht="12.75" customHeight="1" x14ac:dyDescent="0.15">
      <c r="D213" s="3"/>
    </row>
    <row r="214" spans="4:4" ht="12.75" customHeight="1" x14ac:dyDescent="0.15">
      <c r="D214" s="3"/>
    </row>
    <row r="215" spans="4:4" ht="12.75" customHeight="1" x14ac:dyDescent="0.15">
      <c r="D215" s="3"/>
    </row>
    <row r="216" spans="4:4" ht="12.75" customHeight="1" x14ac:dyDescent="0.15">
      <c r="D216" s="3"/>
    </row>
    <row r="217" spans="4:4" ht="12.75" customHeight="1" x14ac:dyDescent="0.15">
      <c r="D217" s="3"/>
    </row>
    <row r="218" spans="4:4" ht="12.75" customHeight="1" x14ac:dyDescent="0.15">
      <c r="D218" s="3"/>
    </row>
    <row r="219" spans="4:4" ht="12.75" customHeight="1" x14ac:dyDescent="0.15">
      <c r="D219" s="3"/>
    </row>
    <row r="220" spans="4:4" ht="12.75" customHeight="1" x14ac:dyDescent="0.15">
      <c r="D220" s="3"/>
    </row>
    <row r="221" spans="4:4" ht="12.75" customHeight="1" x14ac:dyDescent="0.15">
      <c r="D221" s="3"/>
    </row>
    <row r="222" spans="4:4" ht="12.75" customHeight="1" x14ac:dyDescent="0.15">
      <c r="D222" s="3"/>
    </row>
    <row r="223" spans="4:4" ht="12.75" customHeight="1" x14ac:dyDescent="0.15">
      <c r="D223" s="3"/>
    </row>
    <row r="224" spans="4:4" ht="12.75" customHeight="1" x14ac:dyDescent="0.15">
      <c r="D224" s="3"/>
    </row>
    <row r="225" spans="4:4" ht="12.75" customHeight="1" x14ac:dyDescent="0.15">
      <c r="D225" s="3"/>
    </row>
    <row r="226" spans="4:4" ht="12.75" customHeight="1" x14ac:dyDescent="0.15">
      <c r="D226" s="3"/>
    </row>
    <row r="227" spans="4:4" ht="12.75" customHeight="1" x14ac:dyDescent="0.15">
      <c r="D227" s="3"/>
    </row>
    <row r="228" spans="4:4" ht="12.75" customHeight="1" x14ac:dyDescent="0.15">
      <c r="D228" s="3"/>
    </row>
    <row r="229" spans="4:4" ht="12.75" customHeight="1" x14ac:dyDescent="0.15">
      <c r="D229" s="3"/>
    </row>
    <row r="230" spans="4:4" ht="12.75" customHeight="1" x14ac:dyDescent="0.15">
      <c r="D230" s="3"/>
    </row>
    <row r="231" spans="4:4" ht="12.75" customHeight="1" x14ac:dyDescent="0.15">
      <c r="D231" s="3"/>
    </row>
    <row r="232" spans="4:4" ht="12.75" customHeight="1" x14ac:dyDescent="0.15">
      <c r="D232" s="3"/>
    </row>
    <row r="233" spans="4:4" ht="12.75" customHeight="1" x14ac:dyDescent="0.15">
      <c r="D233" s="3"/>
    </row>
    <row r="234" spans="4:4" ht="12.75" customHeight="1" x14ac:dyDescent="0.15">
      <c r="D234" s="3"/>
    </row>
    <row r="235" spans="4:4" ht="12.75" customHeight="1" x14ac:dyDescent="0.15">
      <c r="D235" s="3"/>
    </row>
    <row r="236" spans="4:4" ht="12.75" customHeight="1" x14ac:dyDescent="0.15">
      <c r="D236" s="3"/>
    </row>
    <row r="237" spans="4:4" ht="12.75" customHeight="1" x14ac:dyDescent="0.15">
      <c r="D237" s="3"/>
    </row>
    <row r="238" spans="4:4" ht="12.75" customHeight="1" x14ac:dyDescent="0.15">
      <c r="D238" s="3"/>
    </row>
    <row r="239" spans="4:4" ht="12.75" customHeight="1" x14ac:dyDescent="0.15">
      <c r="D239" s="3"/>
    </row>
    <row r="240" spans="4:4" ht="12.75" customHeight="1" x14ac:dyDescent="0.15">
      <c r="D240" s="3"/>
    </row>
    <row r="241" spans="4:4" ht="12.75" customHeight="1" x14ac:dyDescent="0.15">
      <c r="D241" s="3"/>
    </row>
    <row r="242" spans="4:4" ht="12.75" customHeight="1" x14ac:dyDescent="0.15">
      <c r="D242" s="3"/>
    </row>
    <row r="243" spans="4:4" ht="12.75" customHeight="1" x14ac:dyDescent="0.15">
      <c r="D243" s="3"/>
    </row>
    <row r="244" spans="4:4" ht="12.75" customHeight="1" x14ac:dyDescent="0.15">
      <c r="D244" s="3"/>
    </row>
    <row r="245" spans="4:4" ht="12.75" customHeight="1" x14ac:dyDescent="0.15">
      <c r="D245" s="3"/>
    </row>
    <row r="246" spans="4:4" ht="12.75" customHeight="1" x14ac:dyDescent="0.15">
      <c r="D246" s="3"/>
    </row>
    <row r="247" spans="4:4" ht="12.75" customHeight="1" x14ac:dyDescent="0.15">
      <c r="D247" s="3"/>
    </row>
    <row r="248" spans="4:4" ht="12.75" customHeight="1" x14ac:dyDescent="0.15">
      <c r="D248" s="3"/>
    </row>
    <row r="249" spans="4:4" ht="12.75" customHeight="1" x14ac:dyDescent="0.15">
      <c r="D249" s="3"/>
    </row>
    <row r="250" spans="4:4" ht="12.75" customHeight="1" x14ac:dyDescent="0.15">
      <c r="D250" s="3"/>
    </row>
    <row r="251" spans="4:4" ht="12.75" customHeight="1" x14ac:dyDescent="0.15">
      <c r="D251" s="3"/>
    </row>
    <row r="252" spans="4:4" ht="12.75" customHeight="1" x14ac:dyDescent="0.15">
      <c r="D252" s="3"/>
    </row>
    <row r="253" spans="4:4" ht="12.75" customHeight="1" x14ac:dyDescent="0.15">
      <c r="D253" s="3"/>
    </row>
    <row r="254" spans="4:4" ht="12.75" customHeight="1" x14ac:dyDescent="0.15">
      <c r="D254" s="3"/>
    </row>
    <row r="255" spans="4:4" ht="12.75" customHeight="1" x14ac:dyDescent="0.15">
      <c r="D255" s="3"/>
    </row>
    <row r="256" spans="4:4" ht="12.75" customHeight="1" x14ac:dyDescent="0.15">
      <c r="D256" s="3"/>
    </row>
    <row r="257" spans="4:4" ht="12.75" customHeight="1" x14ac:dyDescent="0.15">
      <c r="D257" s="3"/>
    </row>
    <row r="258" spans="4:4" ht="12.75" customHeight="1" x14ac:dyDescent="0.15">
      <c r="D258" s="3"/>
    </row>
    <row r="259" spans="4:4" ht="12.75" customHeight="1" x14ac:dyDescent="0.15">
      <c r="D259" s="3"/>
    </row>
    <row r="260" spans="4:4" ht="12.75" customHeight="1" x14ac:dyDescent="0.15">
      <c r="D260" s="3"/>
    </row>
    <row r="261" spans="4:4" ht="12.75" customHeight="1" x14ac:dyDescent="0.15">
      <c r="D261" s="3"/>
    </row>
    <row r="262" spans="4:4" ht="12.75" customHeight="1" x14ac:dyDescent="0.15">
      <c r="D262" s="3"/>
    </row>
    <row r="263" spans="4:4" ht="12.75" customHeight="1" x14ac:dyDescent="0.15">
      <c r="D263" s="3"/>
    </row>
    <row r="264" spans="4:4" ht="12.75" customHeight="1" x14ac:dyDescent="0.15">
      <c r="D264" s="3"/>
    </row>
    <row r="265" spans="4:4" ht="12.75" customHeight="1" x14ac:dyDescent="0.15">
      <c r="D265" s="3"/>
    </row>
    <row r="266" spans="4:4" ht="12.75" customHeight="1" x14ac:dyDescent="0.15">
      <c r="D266" s="3"/>
    </row>
    <row r="267" spans="4:4" ht="12.75" customHeight="1" x14ac:dyDescent="0.15">
      <c r="D267" s="3"/>
    </row>
    <row r="268" spans="4:4" ht="12.75" customHeight="1" x14ac:dyDescent="0.15">
      <c r="D268" s="3"/>
    </row>
    <row r="269" spans="4:4" ht="12.75" customHeight="1" x14ac:dyDescent="0.15">
      <c r="D269" s="3"/>
    </row>
    <row r="270" spans="4:4" ht="12.75" customHeight="1" x14ac:dyDescent="0.15">
      <c r="D270" s="3"/>
    </row>
    <row r="271" spans="4:4" ht="12.75" customHeight="1" x14ac:dyDescent="0.15">
      <c r="D271" s="3"/>
    </row>
    <row r="272" spans="4:4" ht="12.75" customHeight="1" x14ac:dyDescent="0.15">
      <c r="D272" s="3"/>
    </row>
    <row r="273" spans="4:4" ht="12.75" customHeight="1" x14ac:dyDescent="0.15">
      <c r="D273" s="3"/>
    </row>
    <row r="274" spans="4:4" ht="12.75" customHeight="1" x14ac:dyDescent="0.15">
      <c r="D274" s="3"/>
    </row>
    <row r="275" spans="4:4" ht="12.75" customHeight="1" x14ac:dyDescent="0.15">
      <c r="D275" s="3"/>
    </row>
    <row r="276" spans="4:4" ht="12.75" customHeight="1" x14ac:dyDescent="0.15">
      <c r="D276" s="3"/>
    </row>
    <row r="277" spans="4:4" ht="12.75" customHeight="1" x14ac:dyDescent="0.15">
      <c r="D277" s="3"/>
    </row>
    <row r="278" spans="4:4" ht="12.75" customHeight="1" x14ac:dyDescent="0.15">
      <c r="D278" s="3"/>
    </row>
    <row r="279" spans="4:4" ht="12.75" customHeight="1" x14ac:dyDescent="0.15">
      <c r="D279" s="3"/>
    </row>
    <row r="280" spans="4:4" ht="12.75" customHeight="1" x14ac:dyDescent="0.15">
      <c r="D280" s="3"/>
    </row>
    <row r="281" spans="4:4" ht="12.75" customHeight="1" x14ac:dyDescent="0.15">
      <c r="D281" s="3"/>
    </row>
    <row r="282" spans="4:4" ht="12.75" customHeight="1" x14ac:dyDescent="0.15">
      <c r="D282" s="3"/>
    </row>
    <row r="283" spans="4:4" ht="12.75" customHeight="1" x14ac:dyDescent="0.15">
      <c r="D283" s="3"/>
    </row>
    <row r="284" spans="4:4" ht="12.75" customHeight="1" x14ac:dyDescent="0.15">
      <c r="D284" s="3"/>
    </row>
    <row r="285" spans="4:4" ht="12.75" customHeight="1" x14ac:dyDescent="0.15">
      <c r="D285" s="3"/>
    </row>
    <row r="286" spans="4:4" ht="12.75" customHeight="1" x14ac:dyDescent="0.15">
      <c r="D286" s="3"/>
    </row>
    <row r="287" spans="4:4" ht="12.75" customHeight="1" x14ac:dyDescent="0.15">
      <c r="D287" s="3"/>
    </row>
    <row r="288" spans="4:4" ht="12.75" customHeight="1" x14ac:dyDescent="0.15">
      <c r="D288" s="3"/>
    </row>
    <row r="289" spans="4:4" ht="12.75" customHeight="1" x14ac:dyDescent="0.15">
      <c r="D289" s="3"/>
    </row>
    <row r="290" spans="4:4" ht="12.75" customHeight="1" x14ac:dyDescent="0.15"/>
    <row r="291" spans="4:4" ht="12.75" customHeight="1" x14ac:dyDescent="0.15"/>
    <row r="292" spans="4:4" ht="12.75" customHeight="1" x14ac:dyDescent="0.15"/>
  </sheetData>
  <pageMargins left="0.75" right="0.75" top="1" bottom="1" header="0.5" footer="0.5"/>
  <pageSetup paperSize="9" orientation="landscape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8A303"/>
  </sheetPr>
  <dimension ref="A1:HL300"/>
  <sheetViews>
    <sheetView topLeftCell="R10" zoomScale="125" zoomScaleNormal="125" workbookViewId="0">
      <selection activeCell="U31" sqref="U31"/>
    </sheetView>
  </sheetViews>
  <sheetFormatPr baseColWidth="10" defaultColWidth="9" defaultRowHeight="13" x14ac:dyDescent="0.15"/>
  <cols>
    <col min="1" max="1" width="11.5" style="2" customWidth="1"/>
    <col min="2" max="2" width="11" style="42" customWidth="1"/>
    <col min="3" max="3" width="6.5" style="34" customWidth="1"/>
    <col min="4" max="4" width="6.33203125" style="3" customWidth="1"/>
    <col min="5" max="5" width="3.5" style="3" customWidth="1"/>
    <col min="6" max="6" width="6" style="3" customWidth="1"/>
    <col min="7" max="7" width="4.6640625" style="3" customWidth="1"/>
    <col min="8" max="8" width="10.1640625" style="3" customWidth="1"/>
    <col min="9" max="9" width="3.6640625" style="3" customWidth="1"/>
    <col min="10" max="10" width="5.5" customWidth="1"/>
    <col min="11" max="11" width="3.6640625" customWidth="1"/>
    <col min="12" max="12" width="16.1640625" customWidth="1"/>
    <col min="13" max="13" width="6.1640625" style="3" customWidth="1"/>
    <col min="14" max="14" width="22.5" customWidth="1"/>
    <col min="15" max="15" width="8" style="3" customWidth="1"/>
    <col min="16" max="16" width="25" customWidth="1"/>
    <col min="17" max="17" width="8" style="3" customWidth="1"/>
    <col min="18" max="18" width="25" customWidth="1"/>
    <col min="19" max="19" width="8" style="3" customWidth="1"/>
    <col min="20" max="20" width="39.1640625" customWidth="1"/>
    <col min="21" max="21" width="59.33203125" customWidth="1"/>
    <col min="22" max="22" width="10" style="3" customWidth="1"/>
    <col min="23" max="23" width="4.6640625" customWidth="1"/>
    <col min="24" max="24" width="34" customWidth="1"/>
    <col min="25" max="25" width="10" style="3" customWidth="1"/>
    <col min="26" max="29" width="4.6640625" customWidth="1"/>
    <col min="30" max="30" width="8.1640625" customWidth="1"/>
    <col min="31" max="31" width="7" customWidth="1"/>
    <col min="32" max="32" width="6.33203125" customWidth="1"/>
    <col min="33" max="33" width="8.5" customWidth="1"/>
    <col min="34" max="34" width="7.6640625" customWidth="1"/>
    <col min="35" max="35" width="6.33203125" customWidth="1"/>
    <col min="36" max="36" width="9.83203125" customWidth="1"/>
    <col min="37" max="37" width="7" customWidth="1"/>
    <col min="38" max="38" width="7.5" customWidth="1"/>
    <col min="39" max="39" width="12" customWidth="1"/>
    <col min="40" max="40" width="7" customWidth="1"/>
    <col min="41" max="41" width="6.33203125" customWidth="1"/>
    <col min="42" max="42" width="3.5" customWidth="1"/>
    <col min="43" max="43" width="9.1640625" customWidth="1"/>
    <col min="44" max="44" width="7.5" customWidth="1"/>
    <col min="45" max="45" width="7.6640625" customWidth="1"/>
    <col min="46" max="46" width="6.33203125" customWidth="1"/>
    <col min="47" max="47" width="7" customWidth="1"/>
    <col min="48" max="48" width="6.6640625" customWidth="1"/>
    <col min="49" max="49" width="7.6640625" customWidth="1"/>
    <col min="50" max="50" width="6.33203125" customWidth="1"/>
    <col min="51" max="51" width="6" customWidth="1"/>
    <col min="52" max="52" width="4.6640625" customWidth="1"/>
    <col min="53" max="53" width="3.5" customWidth="1"/>
    <col min="54" max="54" width="6.33203125" customWidth="1"/>
    <col min="55" max="55" width="6" customWidth="1"/>
    <col min="56" max="56" width="4.6640625" customWidth="1"/>
    <col min="57" max="57" width="3.5" customWidth="1"/>
    <col min="58" max="58" width="6" customWidth="1"/>
    <col min="59" max="59" width="4.6640625" customWidth="1"/>
    <col min="60" max="60" width="3.5" customWidth="1"/>
    <col min="61" max="61" width="6.33203125" customWidth="1"/>
    <col min="62" max="62" width="6" customWidth="1"/>
    <col min="63" max="63" width="4.6640625" customWidth="1"/>
    <col min="64" max="64" width="3.5" customWidth="1"/>
    <col min="65" max="65" width="6.33203125" customWidth="1"/>
    <col min="66" max="66" width="6" customWidth="1"/>
    <col min="67" max="67" width="4.6640625" customWidth="1"/>
    <col min="68" max="68" width="3.5" customWidth="1"/>
    <col min="69" max="69" width="6.33203125" customWidth="1"/>
    <col min="70" max="70" width="6" customWidth="1"/>
    <col min="71" max="71" width="4.6640625" customWidth="1"/>
    <col min="72" max="72" width="3.5" customWidth="1"/>
    <col min="73" max="73" width="6.33203125" customWidth="1"/>
    <col min="74" max="74" width="6.1640625" customWidth="1"/>
    <col min="75" max="75" width="4.6640625" customWidth="1"/>
    <col min="76" max="76" width="3.5" customWidth="1"/>
    <col min="77" max="77" width="6.33203125" customWidth="1"/>
    <col min="78" max="78" width="6.1640625" customWidth="1"/>
    <col min="79" max="79" width="4.6640625" customWidth="1"/>
    <col min="80" max="80" width="3.5" customWidth="1"/>
    <col min="81" max="81" width="7.33203125" customWidth="1"/>
    <col min="82" max="82" width="2" customWidth="1"/>
    <col min="83" max="83" width="5.5" customWidth="1"/>
    <col min="84" max="84" width="6.6640625" customWidth="1"/>
    <col min="85" max="85" width="7.83203125" customWidth="1"/>
    <col min="86" max="86" width="10.6640625" customWidth="1"/>
    <col min="87" max="87" width="6.33203125" customWidth="1"/>
    <col min="88" max="88" width="6" customWidth="1"/>
    <col min="89" max="89" width="4.6640625" customWidth="1"/>
    <col min="90" max="90" width="6.33203125" customWidth="1"/>
    <col min="91" max="91" width="6" customWidth="1"/>
    <col min="92" max="92" width="4.6640625" customWidth="1"/>
    <col min="93" max="93" width="6.33203125" customWidth="1"/>
    <col min="94" max="94" width="6" customWidth="1"/>
    <col min="95" max="95" width="4.6640625" customWidth="1"/>
    <col min="96" max="96" width="6.33203125" customWidth="1"/>
    <col min="97" max="97" width="6" customWidth="1"/>
    <col min="98" max="98" width="4.6640625" customWidth="1"/>
    <col min="99" max="99" width="6.33203125" customWidth="1"/>
    <col min="100" max="100" width="6" customWidth="1"/>
    <col min="101" max="101" width="4.6640625" customWidth="1"/>
    <col min="102" max="102" width="6.33203125" customWidth="1"/>
    <col min="103" max="103" width="6" customWidth="1"/>
    <col min="104" max="104" width="4.6640625" customWidth="1"/>
    <col min="105" max="105" width="6.33203125" customWidth="1"/>
    <col min="106" max="106" width="6" customWidth="1"/>
    <col min="107" max="107" width="4.6640625" customWidth="1"/>
    <col min="108" max="108" width="6.33203125" customWidth="1"/>
    <col min="109" max="109" width="6" customWidth="1"/>
    <col min="110" max="110" width="4.6640625" customWidth="1"/>
    <col min="111" max="111" width="6.33203125" customWidth="1"/>
    <col min="112" max="112" width="6" customWidth="1"/>
    <col min="113" max="113" width="4.6640625" customWidth="1"/>
    <col min="114" max="114" width="6.33203125" customWidth="1"/>
    <col min="115" max="115" width="6" customWidth="1"/>
    <col min="116" max="116" width="4.6640625" customWidth="1"/>
    <col min="117" max="117" width="6.33203125" customWidth="1"/>
    <col min="118" max="118" width="6" customWidth="1"/>
    <col min="119" max="119" width="4.6640625" customWidth="1"/>
    <col min="121" max="121" width="6.33203125" customWidth="1"/>
    <col min="122" max="122" width="6" customWidth="1"/>
    <col min="123" max="123" width="4.6640625" customWidth="1"/>
    <col min="124" max="124" width="6.33203125" customWidth="1"/>
    <col min="125" max="125" width="6" customWidth="1"/>
    <col min="126" max="126" width="4.6640625" customWidth="1"/>
    <col min="127" max="128" width="6.33203125" customWidth="1"/>
    <col min="129" max="129" width="6" customWidth="1"/>
    <col min="130" max="130" width="4.6640625" customWidth="1"/>
    <col min="131" max="132" width="6.33203125" customWidth="1"/>
    <col min="133" max="133" width="6" customWidth="1"/>
    <col min="134" max="134" width="4.6640625" customWidth="1"/>
    <col min="135" max="136" width="6.33203125" customWidth="1"/>
    <col min="137" max="137" width="6" customWidth="1"/>
    <col min="138" max="138" width="4.6640625" customWidth="1"/>
    <col min="139" max="139" width="6.33203125" customWidth="1"/>
    <col min="140" max="140" width="6" customWidth="1"/>
    <col min="141" max="141" width="4.6640625" customWidth="1"/>
    <col min="142" max="143" width="6.33203125" customWidth="1"/>
    <col min="144" max="144" width="6" customWidth="1"/>
    <col min="145" max="145" width="4.6640625" customWidth="1"/>
    <col min="146" max="147" width="6.33203125" customWidth="1"/>
    <col min="148" max="148" width="6" customWidth="1"/>
    <col min="149" max="149" width="4.6640625" customWidth="1"/>
    <col min="150" max="151" width="6.33203125" customWidth="1"/>
    <col min="152" max="152" width="6.1640625" customWidth="1"/>
    <col min="153" max="153" width="4.6640625" customWidth="1"/>
    <col min="154" max="154" width="6.33203125" customWidth="1"/>
    <col min="155" max="155" width="7.33203125" customWidth="1"/>
    <col min="156" max="156" width="6.1640625" customWidth="1"/>
    <col min="157" max="157" width="4.6640625" customWidth="1"/>
    <col min="158" max="158" width="6.33203125" customWidth="1"/>
    <col min="159" max="159" width="7.33203125" customWidth="1"/>
    <col min="160" max="160" width="6.1640625" customWidth="1"/>
    <col min="161" max="161" width="4.6640625" customWidth="1"/>
    <col min="162" max="162" width="6.33203125" customWidth="1"/>
    <col min="163" max="163" width="7.33203125" customWidth="1"/>
    <col min="164" max="164" width="6.1640625" customWidth="1"/>
    <col min="165" max="165" width="4.6640625" customWidth="1"/>
    <col min="166" max="166" width="6.33203125" customWidth="1"/>
    <col min="167" max="167" width="7.33203125" customWidth="1"/>
    <col min="168" max="168" width="6.1640625" customWidth="1"/>
    <col min="169" max="169" width="4.6640625" customWidth="1"/>
    <col min="170" max="170" width="6.33203125" customWidth="1"/>
    <col min="171" max="171" width="7.33203125" customWidth="1"/>
    <col min="172" max="172" width="6.1640625" customWidth="1"/>
    <col min="173" max="173" width="4.6640625" customWidth="1"/>
    <col min="175" max="176" width="9.83203125" customWidth="1"/>
    <col min="177" max="177" width="5.6640625" customWidth="1"/>
    <col min="178" max="179" width="9.83203125" customWidth="1"/>
    <col min="181" max="181" width="7" customWidth="1"/>
    <col min="182" max="182" width="12" customWidth="1"/>
    <col min="183" max="183" width="11.83203125" customWidth="1"/>
    <col min="184" max="184" width="6.6640625" customWidth="1"/>
    <col min="186" max="187" width="6.33203125" customWidth="1"/>
    <col min="188" max="188" width="6.6640625" customWidth="1"/>
    <col min="189" max="190" width="6.33203125" customWidth="1"/>
    <col min="191" max="191" width="6.6640625" customWidth="1"/>
    <col min="192" max="193" width="6.33203125" customWidth="1"/>
    <col min="194" max="194" width="6.6640625" customWidth="1"/>
    <col min="195" max="196" width="6.33203125" customWidth="1"/>
    <col min="197" max="197" width="6.6640625" customWidth="1"/>
    <col min="198" max="199" width="6.33203125" customWidth="1"/>
    <col min="200" max="200" width="6.6640625" customWidth="1"/>
    <col min="202" max="202" width="4.6640625" customWidth="1"/>
    <col min="203" max="203" width="6" customWidth="1"/>
    <col min="204" max="204" width="6.6640625" customWidth="1"/>
    <col min="205" max="205" width="4.6640625" customWidth="1"/>
    <col min="206" max="206" width="6" customWidth="1"/>
    <col min="207" max="207" width="6.6640625" customWidth="1"/>
    <col min="208" max="208" width="4.6640625" customWidth="1"/>
    <col min="209" max="209" width="6.33203125" customWidth="1"/>
    <col min="210" max="210" width="6" customWidth="1"/>
    <col min="211" max="211" width="6.6640625" customWidth="1"/>
    <col min="212" max="212" width="4.6640625" customWidth="1"/>
    <col min="213" max="213" width="6.33203125" customWidth="1"/>
    <col min="214" max="214" width="6" customWidth="1"/>
    <col min="215" max="215" width="6.6640625" customWidth="1"/>
    <col min="216" max="216" width="4.6640625" customWidth="1"/>
    <col min="217" max="217" width="6.33203125" customWidth="1"/>
    <col min="218" max="218" width="6" customWidth="1"/>
    <col min="219" max="219" width="6.6640625" customWidth="1"/>
  </cols>
  <sheetData>
    <row r="1" spans="1:220" ht="15.75" customHeight="1" x14ac:dyDescent="0.15">
      <c r="A1" s="43" t="str">
        <f t="array" ref="A1:H300">veri!$D$1:$K$357</f>
        <v>Doğum-tarihi</v>
      </c>
      <c r="B1" s="43" t="str">
        <v>Kaza-tarihi</v>
      </c>
      <c r="C1" s="44" t="str">
        <v>Saat</v>
      </c>
      <c r="D1" s="43" t="str">
        <v>Sanatı</v>
      </c>
      <c r="E1" s="43" t="str">
        <v>Yer</v>
      </c>
      <c r="F1" s="43" t="str">
        <v>Neden</v>
      </c>
      <c r="G1" s="43" t="str">
        <v>Uzuv</v>
      </c>
      <c r="H1" s="43" t="str">
        <v>Gün-Kayıbı</v>
      </c>
      <c r="N1" s="43" t="s">
        <v>32</v>
      </c>
      <c r="O1" s="43" t="s">
        <v>33</v>
      </c>
      <c r="P1" s="45" t="s">
        <v>34</v>
      </c>
      <c r="Q1" s="45" t="s">
        <v>33</v>
      </c>
      <c r="R1" s="46" t="s">
        <v>35</v>
      </c>
      <c r="S1" s="46" t="s">
        <v>33</v>
      </c>
      <c r="T1" s="47" t="s">
        <v>36</v>
      </c>
      <c r="U1" s="48" t="s">
        <v>37</v>
      </c>
      <c r="V1" s="48" t="s">
        <v>33</v>
      </c>
      <c r="X1" s="47" t="s">
        <v>38</v>
      </c>
      <c r="Y1" s="48" t="s">
        <v>39</v>
      </c>
      <c r="AD1" s="14"/>
      <c r="AE1" s="5" t="s">
        <v>40</v>
      </c>
      <c r="AF1" s="5" t="s">
        <v>33</v>
      </c>
      <c r="AG1" s="14"/>
      <c r="AH1" s="5" t="s">
        <v>41</v>
      </c>
      <c r="AI1" s="5" t="s">
        <v>33</v>
      </c>
      <c r="AJ1" s="14"/>
      <c r="AK1" s="5" t="s">
        <v>42</v>
      </c>
      <c r="AL1" s="5" t="s">
        <v>33</v>
      </c>
      <c r="AM1" s="14"/>
      <c r="AN1" s="5" t="s">
        <v>43</v>
      </c>
      <c r="AO1" s="5" t="s">
        <v>33</v>
      </c>
      <c r="AP1" s="14"/>
      <c r="AQ1" s="5" t="s">
        <v>44</v>
      </c>
      <c r="AR1" s="5" t="s">
        <v>33</v>
      </c>
      <c r="AS1" s="5" t="s">
        <v>45</v>
      </c>
      <c r="AT1" s="14"/>
      <c r="AU1" s="5" t="s">
        <v>46</v>
      </c>
      <c r="AV1" s="45" t="s">
        <v>47</v>
      </c>
      <c r="AW1" s="46" t="s">
        <v>48</v>
      </c>
      <c r="AX1" s="14"/>
      <c r="AY1" s="13"/>
      <c r="BA1" s="13"/>
      <c r="BB1" s="14"/>
      <c r="BC1" s="13"/>
      <c r="BE1" s="13"/>
      <c r="BF1" s="14"/>
      <c r="BH1" s="13"/>
      <c r="BI1" s="14"/>
      <c r="BJ1" s="13"/>
      <c r="BL1" s="13"/>
      <c r="BM1" s="14"/>
      <c r="BN1" s="13"/>
      <c r="BP1" s="13"/>
      <c r="BQ1" s="14"/>
      <c r="BR1" s="13"/>
      <c r="BT1" s="13"/>
      <c r="BU1" s="14"/>
      <c r="BV1" s="13"/>
      <c r="BX1" s="13"/>
      <c r="BY1" s="14"/>
      <c r="BZ1" s="13"/>
      <c r="CB1" s="13"/>
      <c r="CC1" s="14"/>
      <c r="CF1" s="14"/>
      <c r="CG1" s="14"/>
      <c r="CH1" s="14"/>
      <c r="CI1" s="14"/>
      <c r="CJ1" s="49"/>
      <c r="CK1" s="50"/>
      <c r="CL1" s="14"/>
      <c r="CM1" s="49"/>
      <c r="CN1" s="50"/>
      <c r="CO1" s="14"/>
      <c r="CP1" s="49"/>
      <c r="CQ1" s="50"/>
      <c r="CR1" s="14"/>
      <c r="CS1" s="49"/>
      <c r="CT1" s="50"/>
      <c r="CU1" s="14"/>
      <c r="CV1" s="49"/>
      <c r="CW1" s="50"/>
      <c r="CX1" s="14"/>
      <c r="CY1" s="49"/>
      <c r="CZ1" s="50"/>
      <c r="DA1" s="14"/>
      <c r="DB1" s="49"/>
      <c r="DC1" s="50"/>
      <c r="DD1" s="14"/>
      <c r="DE1" s="49"/>
      <c r="DF1" s="50"/>
      <c r="DG1" s="14"/>
      <c r="DH1" s="49"/>
      <c r="DI1" s="50"/>
      <c r="DJ1" s="14"/>
      <c r="DK1" s="49"/>
      <c r="DL1" s="50"/>
      <c r="DM1" s="14"/>
      <c r="DN1" s="49"/>
      <c r="DO1" s="50"/>
      <c r="DQ1" s="13"/>
      <c r="DR1" s="14"/>
      <c r="DT1" s="13"/>
      <c r="DU1" s="14"/>
      <c r="DW1" s="13"/>
      <c r="DX1" s="14"/>
      <c r="DY1" s="13"/>
      <c r="EA1" s="13"/>
      <c r="EB1" s="14"/>
      <c r="EC1" s="13"/>
      <c r="EE1" s="13"/>
      <c r="EF1" s="14"/>
      <c r="EG1" s="13"/>
      <c r="EI1" s="13"/>
      <c r="EJ1" s="13"/>
      <c r="EL1" s="13"/>
      <c r="EM1" s="14"/>
      <c r="EN1" s="13"/>
      <c r="EP1" s="13"/>
      <c r="EQ1" s="14"/>
      <c r="ER1" s="13"/>
      <c r="ET1" s="13"/>
      <c r="EU1" s="14"/>
      <c r="EV1" s="13"/>
      <c r="EX1" s="13"/>
      <c r="EY1" s="14"/>
      <c r="EZ1" s="13"/>
      <c r="FB1" s="13"/>
      <c r="FC1" s="14"/>
      <c r="FD1" s="13"/>
      <c r="FF1" s="13"/>
      <c r="FG1" s="14"/>
      <c r="FH1" s="13"/>
      <c r="FJ1" s="13"/>
      <c r="FK1" s="14"/>
      <c r="FL1" s="13"/>
      <c r="FN1" s="13"/>
      <c r="FO1" s="14"/>
      <c r="FP1" s="13"/>
      <c r="FS1" s="14"/>
      <c r="FT1" s="14"/>
      <c r="FV1" s="14"/>
      <c r="FW1" s="14"/>
      <c r="FZ1" s="14"/>
      <c r="GA1" s="14"/>
      <c r="GD1" s="14"/>
      <c r="GE1" s="14"/>
      <c r="GG1" s="14"/>
      <c r="GH1" s="14"/>
      <c r="GJ1" s="14"/>
      <c r="GK1" s="14"/>
      <c r="GM1" s="14"/>
      <c r="GN1" s="14"/>
      <c r="GP1" s="14"/>
      <c r="GQ1" s="14"/>
      <c r="GT1" s="13"/>
      <c r="GU1" s="14"/>
      <c r="GW1" s="13"/>
      <c r="GX1" s="14"/>
      <c r="GZ1" s="13"/>
      <c r="HA1" s="14"/>
      <c r="HB1" s="13"/>
      <c r="HD1" s="13"/>
      <c r="HE1" s="14"/>
      <c r="HF1" s="13"/>
      <c r="HH1" s="13"/>
      <c r="HI1" s="14"/>
      <c r="HJ1" s="13"/>
    </row>
    <row r="2" spans="1:220" ht="15.75" customHeight="1" x14ac:dyDescent="0.15">
      <c r="A2" s="3">
        <v>28194</v>
      </c>
      <c r="B2" s="3">
        <v>45674</v>
      </c>
      <c r="C2" s="34">
        <v>0.76041666666666663</v>
      </c>
      <c r="D2" s="3">
        <v>55</v>
      </c>
      <c r="E2" s="3">
        <v>32</v>
      </c>
      <c r="F2" s="3">
        <v>1130</v>
      </c>
      <c r="G2" s="3">
        <v>99</v>
      </c>
      <c r="H2" s="3">
        <v>0</v>
      </c>
      <c r="L2" s="43" t="s">
        <v>49</v>
      </c>
      <c r="M2" s="51">
        <f>COUNTIF(D:D,"&gt;=1")</f>
        <v>9</v>
      </c>
      <c r="N2" s="52" t="s">
        <v>50</v>
      </c>
      <c r="O2" s="51">
        <f>COUNTIF(E:E,11)</f>
        <v>0</v>
      </c>
      <c r="P2" s="53" t="s">
        <v>51</v>
      </c>
      <c r="Q2" s="54">
        <f>COUNTIF(D:D,1)</f>
        <v>0</v>
      </c>
      <c r="R2" s="53" t="s">
        <v>52</v>
      </c>
      <c r="S2" s="54">
        <f>COUNTIF(D:D,51)</f>
        <v>0</v>
      </c>
      <c r="T2" s="163" t="s">
        <v>53</v>
      </c>
      <c r="U2" s="163"/>
      <c r="V2" s="55"/>
      <c r="X2" s="56" t="s">
        <v>54</v>
      </c>
      <c r="Y2" s="57">
        <f>SUM(V3:V9)</f>
        <v>0</v>
      </c>
      <c r="AD2" s="14"/>
      <c r="AE2" s="53" t="s">
        <v>17</v>
      </c>
      <c r="AF2" s="54">
        <f>SUMPRODUCT((MONTH(veri!E3:E497)=1)*(veri!E3:E497&lt;&gt;""))</f>
        <v>0</v>
      </c>
      <c r="AG2" s="14"/>
      <c r="AH2" s="53" t="s">
        <v>55</v>
      </c>
      <c r="AI2" s="54">
        <f>SUMPRODUCT((WEEKDAY(veri!E3:E497,2)=1)*(veri!E3:E497&lt;&gt;""))</f>
        <v>2</v>
      </c>
      <c r="AJ2" s="14"/>
      <c r="AK2" s="53" t="s">
        <v>56</v>
      </c>
      <c r="AL2" s="54">
        <f>COUNTIFS(veri!F:F,"&gt;="&amp;0,veri!F:F,"&lt;"&amp;2)</f>
        <v>9</v>
      </c>
      <c r="AM2" s="14"/>
      <c r="AN2" s="53" t="s">
        <v>57</v>
      </c>
      <c r="AO2" s="54">
        <f>SUMPRODUCT(((veri!E3:E497-veri!D3:D497)/365.25&lt;=20)*(veri!E3:E497&lt;&gt;""))</f>
        <v>0</v>
      </c>
      <c r="AP2" s="14"/>
      <c r="AQ2" s="53" t="s">
        <v>58</v>
      </c>
      <c r="AR2" s="54">
        <f>COUNTIFS(veri!K:K,"&gt;0",veri!K:K,"&lt;=3")</f>
        <v>1</v>
      </c>
      <c r="AS2" s="54">
        <f>SUMIFS(veri!K:K,veri!K:K,"&gt;0",veri!K:K,"&lt;=3")</f>
        <v>2</v>
      </c>
      <c r="AT2" s="14"/>
      <c r="AU2" s="53" t="s">
        <v>59</v>
      </c>
      <c r="AV2" s="54">
        <f>COUNTIFS(veri!H:H,"&lt;=22",veri!K:K,"&gt;=6000")</f>
        <v>0</v>
      </c>
      <c r="AW2" s="54">
        <f>COUNTIFS(veri!H:H,"&gt;=31",veri!K:K,"&gt;=6000")</f>
        <v>0</v>
      </c>
      <c r="AX2" s="13"/>
      <c r="AY2" s="58"/>
      <c r="AZ2" s="14"/>
      <c r="BA2" s="13"/>
      <c r="BB2" s="13"/>
      <c r="BC2" s="58"/>
      <c r="BD2" s="14"/>
      <c r="BE2" s="13"/>
      <c r="BF2" s="13"/>
      <c r="BG2" s="14"/>
      <c r="BH2" s="13"/>
      <c r="BI2" s="13"/>
      <c r="BJ2" s="58"/>
      <c r="BK2" s="14"/>
      <c r="BL2" s="13"/>
      <c r="BM2" s="13"/>
      <c r="BN2" s="58"/>
      <c r="BO2" s="14"/>
      <c r="BP2" s="13"/>
      <c r="BQ2" s="13"/>
      <c r="BR2" s="58"/>
      <c r="BS2" s="14"/>
      <c r="BT2" s="13"/>
      <c r="BU2" s="13"/>
      <c r="BV2" s="58"/>
      <c r="BW2" s="14"/>
      <c r="BX2" s="13"/>
      <c r="BY2" s="13"/>
      <c r="BZ2" s="58"/>
      <c r="CA2" s="14"/>
      <c r="CB2" s="13"/>
      <c r="CC2" s="13"/>
      <c r="CD2" s="14"/>
      <c r="CE2" s="14"/>
      <c r="CF2" s="58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Q2" s="13"/>
      <c r="DR2" s="13"/>
      <c r="DS2" s="14"/>
      <c r="DT2" s="13"/>
      <c r="DU2" s="13"/>
      <c r="DV2" s="14"/>
      <c r="DW2" s="13"/>
      <c r="DX2" s="13"/>
      <c r="DY2" s="58"/>
      <c r="DZ2" s="14"/>
      <c r="EA2" s="13"/>
      <c r="EB2" s="13"/>
      <c r="EC2" s="58"/>
      <c r="ED2" s="14"/>
      <c r="EE2" s="13"/>
      <c r="EF2" s="13"/>
      <c r="EG2" s="58"/>
      <c r="EH2" s="14"/>
      <c r="EI2" s="13"/>
      <c r="EJ2" s="58"/>
      <c r="EK2" s="14"/>
      <c r="EL2" s="13"/>
      <c r="EM2" s="13"/>
      <c r="EN2" s="58"/>
      <c r="EO2" s="14"/>
      <c r="EP2" s="13"/>
      <c r="EQ2" s="13"/>
      <c r="ER2" s="58"/>
      <c r="ES2" s="14"/>
      <c r="ET2" s="13"/>
      <c r="EU2" s="13"/>
      <c r="EV2" s="58"/>
      <c r="EW2" s="14"/>
      <c r="EX2" s="13"/>
      <c r="EY2" s="13"/>
      <c r="EZ2" s="58"/>
      <c r="FA2" s="14"/>
      <c r="FB2" s="13"/>
      <c r="FC2" s="13"/>
      <c r="FD2" s="58"/>
      <c r="FE2" s="14"/>
      <c r="FF2" s="13"/>
      <c r="FG2" s="13"/>
      <c r="FH2" s="58"/>
      <c r="FI2" s="14"/>
      <c r="FJ2" s="13"/>
      <c r="FK2" s="13"/>
      <c r="FL2" s="58"/>
      <c r="FM2" s="14"/>
      <c r="FN2" s="13"/>
      <c r="FO2" s="13"/>
      <c r="FP2" s="58"/>
      <c r="FQ2" s="14"/>
      <c r="FS2" s="58"/>
      <c r="FT2" s="14"/>
      <c r="FU2" s="14"/>
      <c r="FV2" s="14"/>
      <c r="FW2" s="14"/>
      <c r="FX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T2" s="13"/>
      <c r="GU2" s="13"/>
      <c r="GV2" s="14"/>
      <c r="GW2" s="13"/>
      <c r="GX2" s="13"/>
      <c r="GY2" s="14"/>
      <c r="GZ2" s="13"/>
      <c r="HA2" s="13"/>
      <c r="HB2" s="58"/>
      <c r="HC2" s="14"/>
      <c r="HD2" s="13"/>
      <c r="HE2" s="13"/>
      <c r="HF2" s="58"/>
      <c r="HG2" s="14"/>
      <c r="HH2" s="13"/>
      <c r="HI2" s="13"/>
      <c r="HJ2" s="58"/>
      <c r="HK2" s="14"/>
    </row>
    <row r="3" spans="1:220" ht="15.75" customHeight="1" x14ac:dyDescent="0.15">
      <c r="A3" s="3" t="str">
        <v>14.05.1973</v>
      </c>
      <c r="B3" s="3" t="str">
        <v>14.06.2025</v>
      </c>
      <c r="C3" s="34">
        <v>0.50694444444444442</v>
      </c>
      <c r="D3" s="3">
        <v>63</v>
      </c>
      <c r="E3" s="3">
        <v>42</v>
      </c>
      <c r="F3" s="3">
        <v>1990</v>
      </c>
      <c r="G3" s="3">
        <v>15</v>
      </c>
      <c r="H3" s="3">
        <v>0</v>
      </c>
      <c r="L3" s="43" t="s">
        <v>60</v>
      </c>
      <c r="M3" s="51">
        <f>COUNTIF(D:D,"&gt;50")</f>
        <v>9</v>
      </c>
      <c r="N3" s="52" t="s">
        <v>61</v>
      </c>
      <c r="O3" s="51">
        <f>COUNTIF(E:E,12)</f>
        <v>0</v>
      </c>
      <c r="P3" s="53" t="s">
        <v>62</v>
      </c>
      <c r="Q3" s="54">
        <f>COUNTIF(D:D,2)</f>
        <v>0</v>
      </c>
      <c r="R3" s="53" t="s">
        <v>63</v>
      </c>
      <c r="S3" s="54">
        <f>COUNTIF(D:D,52)</f>
        <v>0</v>
      </c>
      <c r="T3" s="59" t="s">
        <v>64</v>
      </c>
      <c r="U3" s="59" t="s">
        <v>65</v>
      </c>
      <c r="V3" s="60">
        <f>COUNTIF(F:F,"=110")</f>
        <v>0</v>
      </c>
      <c r="X3" s="56" t="s">
        <v>66</v>
      </c>
      <c r="Y3" s="57">
        <f>SUM(V11:V17)</f>
        <v>1</v>
      </c>
      <c r="AD3" s="14"/>
      <c r="AE3" s="53" t="s">
        <v>18</v>
      </c>
      <c r="AF3" s="54">
        <f>SUMPRODUCT((MONTH(veri!E3:E497)=2)*(veri!E3:E497&lt;&gt;""))</f>
        <v>0</v>
      </c>
      <c r="AG3" s="14"/>
      <c r="AH3" s="53" t="s">
        <v>67</v>
      </c>
      <c r="AI3" s="54">
        <f>SUMPRODUCT((WEEKDAY(veri!E3:E497,2)=2)*(veri!E3:E497&lt;&gt;""))</f>
        <v>1</v>
      </c>
      <c r="AJ3" s="14"/>
      <c r="AK3" s="53" t="s">
        <v>68</v>
      </c>
      <c r="AL3" s="54">
        <f>COUNTIFS(veri!F:F,"&gt;="&amp;2,veri!F:F,"&lt;"&amp;4)</f>
        <v>0</v>
      </c>
      <c r="AM3" s="14"/>
      <c r="AN3" s="53" t="s">
        <v>69</v>
      </c>
      <c r="AO3" s="54">
        <f>SUMPRODUCT(((veri!E3:E497-veri!D3:D497)/365.25&gt;20)*((veri!E3:E497-veri!D3:D497)/365.25&lt;=25)*(veri!E3:E497&lt;&gt;""))</f>
        <v>0</v>
      </c>
      <c r="AP3" s="14"/>
      <c r="AQ3" s="53" t="s">
        <v>70</v>
      </c>
      <c r="AR3" s="54">
        <f>COUNTIFS(veri!K:K,"&gt;3",veri!K:K,"&lt;=7")</f>
        <v>1</v>
      </c>
      <c r="AS3" s="54">
        <f>SUMIFS(veri!K:K,veri!K:K,"&gt;3",veri!K:K,"&lt;=7")</f>
        <v>4</v>
      </c>
      <c r="AT3" s="14"/>
      <c r="AU3" s="14"/>
      <c r="AV3" s="14"/>
      <c r="AW3" s="14"/>
      <c r="AX3" s="14"/>
      <c r="AY3" s="13"/>
      <c r="BA3" s="13"/>
      <c r="BB3" s="14"/>
      <c r="BC3" s="13"/>
      <c r="BE3" s="13"/>
      <c r="BF3" s="14"/>
      <c r="BH3" s="13"/>
      <c r="BI3" s="14"/>
      <c r="BJ3" s="13"/>
      <c r="BL3" s="13"/>
      <c r="BM3" s="14"/>
      <c r="BN3" s="13"/>
      <c r="BP3" s="13"/>
      <c r="BQ3" s="14"/>
      <c r="BR3" s="13"/>
      <c r="BT3" s="13"/>
      <c r="BU3" s="14"/>
      <c r="BV3" s="13"/>
      <c r="BX3" s="13"/>
      <c r="BY3" s="14"/>
      <c r="BZ3" s="13"/>
      <c r="CB3" s="13"/>
      <c r="CC3" s="14"/>
      <c r="CD3" s="14"/>
      <c r="CE3" s="14"/>
      <c r="CF3" s="14"/>
      <c r="CG3" s="14"/>
      <c r="CH3" s="14"/>
      <c r="CI3" s="14"/>
      <c r="CJ3" s="49"/>
      <c r="CK3" s="50"/>
      <c r="CL3" s="14"/>
      <c r="CM3" s="49"/>
      <c r="CN3" s="50"/>
      <c r="CO3" s="14"/>
      <c r="CP3" s="49"/>
      <c r="CQ3" s="50"/>
      <c r="CR3" s="14"/>
      <c r="CS3" s="49"/>
      <c r="CT3" s="50"/>
      <c r="CU3" s="14"/>
      <c r="CV3" s="49"/>
      <c r="CW3" s="50"/>
      <c r="CX3" s="14"/>
      <c r="CY3" s="49"/>
      <c r="CZ3" s="50"/>
      <c r="DA3" s="14"/>
      <c r="DB3" s="49"/>
      <c r="DC3" s="50"/>
      <c r="DD3" s="14"/>
      <c r="DE3" s="49"/>
      <c r="DF3" s="50"/>
      <c r="DG3" s="14"/>
      <c r="DH3" s="49"/>
      <c r="DI3" s="50"/>
      <c r="DJ3" s="14"/>
      <c r="DK3" s="49"/>
      <c r="DL3" s="50"/>
      <c r="DM3" s="14"/>
      <c r="DN3" s="49"/>
      <c r="DO3" s="50"/>
      <c r="DQ3" s="13"/>
      <c r="DR3" s="14"/>
      <c r="DT3" s="13"/>
      <c r="DU3" s="14"/>
      <c r="DW3" s="13"/>
      <c r="DX3" s="14"/>
      <c r="DY3" s="13"/>
      <c r="EA3" s="13"/>
      <c r="EB3" s="14"/>
      <c r="EC3" s="13"/>
      <c r="EE3" s="13"/>
      <c r="EF3" s="14"/>
      <c r="EG3" s="13"/>
      <c r="EI3" s="13"/>
      <c r="EJ3" s="13"/>
      <c r="EL3" s="13"/>
      <c r="EM3" s="14"/>
      <c r="EN3" s="13"/>
      <c r="EP3" s="13"/>
      <c r="EQ3" s="14"/>
      <c r="ER3" s="13"/>
      <c r="ET3" s="13"/>
      <c r="EU3" s="14"/>
      <c r="EV3" s="13"/>
      <c r="EX3" s="13"/>
      <c r="EY3" s="14"/>
      <c r="EZ3" s="13"/>
      <c r="FB3" s="13"/>
      <c r="FC3" s="14"/>
      <c r="FD3" s="13"/>
      <c r="FF3" s="13"/>
      <c r="FG3" s="14"/>
      <c r="FH3" s="13"/>
      <c r="FJ3" s="13"/>
      <c r="FK3" s="14"/>
      <c r="FL3" s="13"/>
      <c r="FN3" s="13"/>
      <c r="FO3" s="14"/>
      <c r="FP3" s="13"/>
      <c r="FS3" s="14"/>
      <c r="FT3" s="14"/>
      <c r="FV3" s="14"/>
      <c r="FW3" s="14"/>
      <c r="FZ3" s="14"/>
      <c r="GA3" s="14"/>
      <c r="GC3" s="14"/>
      <c r="GD3" s="14"/>
      <c r="GE3" s="14"/>
      <c r="GG3" s="14"/>
      <c r="GH3" s="14"/>
      <c r="GJ3" s="14"/>
      <c r="GK3" s="14"/>
      <c r="GM3" s="14"/>
      <c r="GN3" s="14"/>
      <c r="GP3" s="14"/>
      <c r="GQ3" s="14"/>
      <c r="GT3" s="13"/>
      <c r="GU3" s="14"/>
      <c r="GW3" s="13"/>
      <c r="GX3" s="14"/>
      <c r="GZ3" s="13"/>
      <c r="HA3" s="14"/>
      <c r="HB3" s="13"/>
      <c r="HD3" s="13"/>
      <c r="HE3" s="14"/>
      <c r="HF3" s="13"/>
      <c r="HH3" s="13"/>
      <c r="HI3" s="14"/>
      <c r="HJ3" s="13"/>
    </row>
    <row r="4" spans="1:220" ht="15.75" customHeight="1" x14ac:dyDescent="0.15">
      <c r="A4" s="3" t="str">
        <v>01.05.1978</v>
      </c>
      <c r="B4" s="3" t="str">
        <v>14.06.2025</v>
      </c>
      <c r="C4" s="34">
        <v>0.54166666666666663</v>
      </c>
      <c r="D4" s="3">
        <v>70</v>
      </c>
      <c r="E4" s="3">
        <v>33</v>
      </c>
      <c r="F4" s="3">
        <v>460</v>
      </c>
      <c r="G4" s="3">
        <v>30</v>
      </c>
      <c r="H4" s="3">
        <v>0</v>
      </c>
      <c r="L4" s="43" t="s">
        <v>71</v>
      </c>
      <c r="M4" s="51">
        <f>M2-M3</f>
        <v>0</v>
      </c>
      <c r="N4" s="52" t="s">
        <v>72</v>
      </c>
      <c r="O4" s="51">
        <f>COUNTIF(E:E,13)</f>
        <v>0</v>
      </c>
      <c r="P4" s="53" t="s">
        <v>73</v>
      </c>
      <c r="Q4" s="54">
        <f>COUNTIF(D:D,3)</f>
        <v>0</v>
      </c>
      <c r="R4" s="53" t="s">
        <v>74</v>
      </c>
      <c r="S4" s="54">
        <f>COUNTIF(D:D,53)</f>
        <v>1</v>
      </c>
      <c r="T4" s="59" t="s">
        <v>75</v>
      </c>
      <c r="U4" s="59" t="s">
        <v>76</v>
      </c>
      <c r="V4" s="60">
        <f>COUNTIF(F:F,"=120")</f>
        <v>0</v>
      </c>
      <c r="X4" s="56" t="s">
        <v>77</v>
      </c>
      <c r="Y4" s="57">
        <f>SUM(V19:V26)</f>
        <v>3</v>
      </c>
      <c r="AD4" s="14"/>
      <c r="AE4" s="53" t="s">
        <v>19</v>
      </c>
      <c r="AF4" s="54">
        <f>SUMPRODUCT((MONTH(veri!E3:E497)=3)*(veri!E3:E497&lt;&gt;""))</f>
        <v>0</v>
      </c>
      <c r="AG4" s="14"/>
      <c r="AH4" s="53" t="s">
        <v>78</v>
      </c>
      <c r="AI4" s="54">
        <f>SUMPRODUCT((WEEKDAY(veri!E3:E497,2)=3)*(veri!E3:E497&lt;&gt;""))</f>
        <v>0</v>
      </c>
      <c r="AJ4" s="14"/>
      <c r="AK4" s="53" t="s">
        <v>79</v>
      </c>
      <c r="AL4" s="54">
        <f>COUNTIFS(veri!F:F,"&gt;="&amp;4,veri!F:F,"&lt;"&amp;6)</f>
        <v>0</v>
      </c>
      <c r="AM4" s="14"/>
      <c r="AN4" s="53" t="s">
        <v>80</v>
      </c>
      <c r="AO4" s="54">
        <f>SUMPRODUCT(((veri!E3:E497-veri!D3:D497)/365.25&gt;25)*((veri!E3:E497-veri!D3:D497)/365.25&lt;=30)*(veri!E3:E497&lt;&gt;""))</f>
        <v>1</v>
      </c>
      <c r="AP4" s="14"/>
      <c r="AQ4" s="53" t="s">
        <v>81</v>
      </c>
      <c r="AR4" s="54">
        <f>COUNTIFS(veri!K:K,"&gt;7",veri!K:K,"&lt;=15")</f>
        <v>0</v>
      </c>
      <c r="AS4" s="54">
        <f>SUMIFS(veri!K:K,veri!K:K,"&gt;7",veri!K:K,"&lt;=15")</f>
        <v>0</v>
      </c>
      <c r="AT4" s="14"/>
      <c r="AU4" s="14"/>
      <c r="AV4" s="14"/>
      <c r="AW4" s="14"/>
      <c r="AX4" s="13"/>
      <c r="AY4" s="58"/>
      <c r="AZ4" s="14"/>
      <c r="BA4" s="13"/>
      <c r="BB4" s="13"/>
      <c r="BC4" s="58"/>
      <c r="BD4" s="14"/>
      <c r="BE4" s="13"/>
      <c r="BF4" s="13"/>
      <c r="BG4" s="14"/>
      <c r="BH4" s="13"/>
      <c r="BI4" s="13"/>
      <c r="BJ4" s="58"/>
      <c r="BK4" s="14"/>
      <c r="BL4" s="13"/>
      <c r="BM4" s="13"/>
      <c r="BN4" s="58"/>
      <c r="BO4" s="14"/>
      <c r="BP4" s="13"/>
      <c r="BQ4" s="13"/>
      <c r="BR4" s="58"/>
      <c r="BS4" s="14"/>
      <c r="BT4" s="13"/>
      <c r="BU4" s="13"/>
      <c r="BV4" s="58"/>
      <c r="BW4" s="14"/>
      <c r="BX4" s="13"/>
      <c r="BY4" s="13"/>
      <c r="BZ4" s="58"/>
      <c r="CA4" s="14"/>
      <c r="CB4" s="13"/>
      <c r="CC4" s="13"/>
      <c r="CD4" s="14"/>
      <c r="CE4" s="14"/>
      <c r="CF4" s="58"/>
      <c r="CG4" s="58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Q4" s="13"/>
      <c r="DR4" s="13"/>
      <c r="DS4" s="14"/>
      <c r="DT4" s="13"/>
      <c r="DU4" s="13"/>
      <c r="DV4" s="14"/>
      <c r="DW4" s="13"/>
      <c r="DX4" s="13"/>
      <c r="DY4" s="58"/>
      <c r="DZ4" s="14"/>
      <c r="EA4" s="13"/>
      <c r="EB4" s="13"/>
      <c r="EC4" s="58"/>
      <c r="ED4" s="14"/>
      <c r="EE4" s="13"/>
      <c r="EF4" s="13"/>
      <c r="EG4" s="58"/>
      <c r="EH4" s="14"/>
      <c r="EI4" s="13"/>
      <c r="EJ4" s="58"/>
      <c r="EK4" s="14"/>
      <c r="EL4" s="13"/>
      <c r="EM4" s="13"/>
      <c r="EN4" s="58"/>
      <c r="EO4" s="14"/>
      <c r="EP4" s="13"/>
      <c r="EQ4" s="13"/>
      <c r="ER4" s="58"/>
      <c r="ES4" s="14"/>
      <c r="ET4" s="13"/>
      <c r="EU4" s="13"/>
      <c r="EV4" s="58"/>
      <c r="EW4" s="14"/>
      <c r="EX4" s="13"/>
      <c r="EY4" s="13"/>
      <c r="EZ4" s="58"/>
      <c r="FA4" s="14"/>
      <c r="FB4" s="13"/>
      <c r="FC4" s="13"/>
      <c r="FD4" s="58"/>
      <c r="FE4" s="14"/>
      <c r="FF4" s="13"/>
      <c r="FG4" s="13"/>
      <c r="FH4" s="58"/>
      <c r="FI4" s="14"/>
      <c r="FJ4" s="13"/>
      <c r="FK4" s="13"/>
      <c r="FL4" s="58"/>
      <c r="FM4" s="14"/>
      <c r="FN4" s="13"/>
      <c r="FO4" s="13"/>
      <c r="FP4" s="58"/>
      <c r="FQ4" s="14"/>
      <c r="FS4" s="14"/>
      <c r="FT4" s="14"/>
      <c r="FU4" s="14"/>
      <c r="FV4" s="14"/>
      <c r="FW4" s="14"/>
      <c r="FX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T4" s="13"/>
      <c r="GU4" s="13"/>
      <c r="GV4" s="14"/>
      <c r="GW4" s="13"/>
      <c r="GX4" s="13"/>
      <c r="GY4" s="14"/>
      <c r="GZ4" s="13"/>
      <c r="HA4" s="13"/>
      <c r="HB4" s="58"/>
      <c r="HC4" s="14"/>
      <c r="HD4" s="13"/>
      <c r="HE4" s="13"/>
      <c r="HF4" s="58"/>
      <c r="HG4" s="14"/>
      <c r="HH4" s="13"/>
      <c r="HI4" s="13"/>
      <c r="HJ4" s="58"/>
      <c r="HK4" s="14"/>
    </row>
    <row r="5" spans="1:220" ht="15.75" customHeight="1" x14ac:dyDescent="0.15">
      <c r="A5" s="3" t="str">
        <v>08.02.1977</v>
      </c>
      <c r="B5" s="3" t="str">
        <v>20.06.2025</v>
      </c>
      <c r="C5" s="34">
        <v>0.5</v>
      </c>
      <c r="D5" s="3">
        <v>59</v>
      </c>
      <c r="E5" s="3">
        <v>41</v>
      </c>
      <c r="F5" s="3">
        <v>340</v>
      </c>
      <c r="G5" s="3">
        <v>45</v>
      </c>
      <c r="H5" s="3">
        <v>50</v>
      </c>
      <c r="M5" s="51"/>
      <c r="N5" s="52" t="s">
        <v>82</v>
      </c>
      <c r="O5" s="51">
        <f>COUNTIF(E:E,14)</f>
        <v>0</v>
      </c>
      <c r="P5" s="53" t="s">
        <v>83</v>
      </c>
      <c r="Q5" s="54">
        <f>COUNTIF(D:D,4)</f>
        <v>0</v>
      </c>
      <c r="R5" s="53" t="s">
        <v>84</v>
      </c>
      <c r="S5" s="54">
        <f>COUNTIF(D:D,54)</f>
        <v>0</v>
      </c>
      <c r="T5" s="59" t="s">
        <v>85</v>
      </c>
      <c r="U5" s="59" t="s">
        <v>86</v>
      </c>
      <c r="V5" s="60">
        <f>COUNTIF(F:F,"=130")</f>
        <v>0</v>
      </c>
      <c r="X5" s="56" t="s">
        <v>87</v>
      </c>
      <c r="Y5" s="57">
        <f>SUM(V28:V34)</f>
        <v>2</v>
      </c>
      <c r="AD5" s="14"/>
      <c r="AE5" s="53" t="s">
        <v>21</v>
      </c>
      <c r="AF5" s="54">
        <f>SUMPRODUCT((MONTH(veri!E3:E497)=4)*(veri!E3:E497&lt;&gt;""))</f>
        <v>0</v>
      </c>
      <c r="AG5" s="14"/>
      <c r="AH5" s="53" t="s">
        <v>88</v>
      </c>
      <c r="AI5" s="54">
        <f>SUMPRODUCT((WEEKDAY(veri!E3:E497,2)=4)*(veri!E3:E497&lt;&gt;""))</f>
        <v>0</v>
      </c>
      <c r="AJ5" s="14"/>
      <c r="AK5" s="53" t="s">
        <v>89</v>
      </c>
      <c r="AL5" s="54">
        <f>COUNTIFS(veri!F:F,"&gt;="&amp;6,veri!F:F,"&lt;"&amp;8)</f>
        <v>0</v>
      </c>
      <c r="AM5" s="14"/>
      <c r="AN5" s="53" t="s">
        <v>90</v>
      </c>
      <c r="AO5" s="54">
        <f>SUMPRODUCT(((veri!E3:E497-veri!D3:D497)/365.25&gt;30)*((veri!E3:E497-veri!D3:D497)/365.25&lt;=35)*(veri!E3:E497&lt;&gt;""))</f>
        <v>1</v>
      </c>
      <c r="AP5" s="14"/>
      <c r="AQ5" s="53" t="s">
        <v>91</v>
      </c>
      <c r="AR5" s="54">
        <f>COUNTIFS(veri!K:K,"&gt;15",veri!K:K,"&lt;=30")</f>
        <v>1</v>
      </c>
      <c r="AS5" s="54">
        <f>SUMIFS(veri!K:K,veri!K:K,"&gt;15",veri!K:K,"&lt;=30")</f>
        <v>26</v>
      </c>
      <c r="AT5" s="14"/>
      <c r="AU5" s="14"/>
      <c r="AV5" s="14"/>
      <c r="AW5" s="14"/>
      <c r="AX5" s="14"/>
      <c r="AY5" s="13"/>
      <c r="BA5" s="13"/>
      <c r="BB5" s="14"/>
      <c r="BC5" s="13"/>
      <c r="BE5" s="13"/>
      <c r="BF5" s="14"/>
      <c r="BH5" s="13"/>
      <c r="BI5" s="14"/>
      <c r="BJ5" s="13"/>
      <c r="BL5" s="13"/>
      <c r="BM5" s="14"/>
      <c r="BN5" s="13"/>
      <c r="BP5" s="13"/>
      <c r="BQ5" s="14"/>
      <c r="BR5" s="13"/>
      <c r="BT5" s="13"/>
      <c r="BU5" s="14"/>
      <c r="BV5" s="13"/>
      <c r="BX5" s="13"/>
      <c r="BY5" s="14"/>
      <c r="BZ5" s="13"/>
      <c r="CB5" s="13"/>
      <c r="CC5" s="14"/>
      <c r="CD5" s="14"/>
      <c r="CE5" s="14"/>
      <c r="CF5" s="14"/>
      <c r="CG5" s="14"/>
      <c r="CH5" s="14"/>
      <c r="CI5" s="14"/>
      <c r="CJ5" s="49"/>
      <c r="CK5" s="50"/>
      <c r="CL5" s="14"/>
      <c r="CM5" s="49"/>
      <c r="CN5" s="50"/>
      <c r="CO5" s="14"/>
      <c r="CP5" s="49"/>
      <c r="CQ5" s="50"/>
      <c r="CR5" s="14"/>
      <c r="CS5" s="49"/>
      <c r="CT5" s="50"/>
      <c r="CU5" s="14"/>
      <c r="CV5" s="49"/>
      <c r="CW5" s="50"/>
      <c r="CX5" s="14"/>
      <c r="CY5" s="49"/>
      <c r="CZ5" s="50"/>
      <c r="DA5" s="14"/>
      <c r="DB5" s="49"/>
      <c r="DC5" s="50"/>
      <c r="DD5" s="14"/>
      <c r="DE5" s="49"/>
      <c r="DF5" s="50"/>
      <c r="DG5" s="14"/>
      <c r="DH5" s="49"/>
      <c r="DI5" s="50"/>
      <c r="DJ5" s="14"/>
      <c r="DK5" s="49"/>
      <c r="DL5" s="50"/>
      <c r="DM5" s="14"/>
      <c r="DN5" s="49"/>
      <c r="DO5" s="50"/>
      <c r="DQ5" s="13"/>
      <c r="DR5" s="14"/>
      <c r="DT5" s="13"/>
      <c r="DU5" s="14"/>
      <c r="DW5" s="13"/>
      <c r="DX5" s="14"/>
      <c r="DY5" s="13"/>
      <c r="EA5" s="13"/>
      <c r="EB5" s="14"/>
      <c r="EC5" s="13"/>
      <c r="EE5" s="13"/>
      <c r="EF5" s="14"/>
      <c r="EG5" s="13"/>
      <c r="EI5" s="13"/>
      <c r="EJ5" s="13"/>
      <c r="EL5" s="13"/>
      <c r="EM5" s="14"/>
      <c r="EN5" s="13"/>
      <c r="EP5" s="13"/>
      <c r="EQ5" s="14"/>
      <c r="ER5" s="13"/>
      <c r="ET5" s="13"/>
      <c r="EU5" s="14"/>
      <c r="EV5" s="13"/>
      <c r="EX5" s="13"/>
      <c r="EY5" s="14"/>
      <c r="EZ5" s="13"/>
      <c r="FB5" s="13"/>
      <c r="FC5" s="14"/>
      <c r="FD5" s="13"/>
      <c r="FF5" s="13"/>
      <c r="FG5" s="14"/>
      <c r="FH5" s="13"/>
      <c r="FJ5" s="13"/>
      <c r="FK5" s="14"/>
      <c r="FL5" s="13"/>
      <c r="FN5" s="13"/>
      <c r="FO5" s="14"/>
      <c r="FP5" s="13"/>
      <c r="FS5" s="14"/>
      <c r="FT5" s="14"/>
      <c r="FV5" s="14"/>
      <c r="FW5" s="14"/>
      <c r="FZ5" s="14"/>
      <c r="GA5" s="14"/>
      <c r="GC5" s="14"/>
      <c r="GD5" s="14"/>
      <c r="GE5" s="14"/>
      <c r="GG5" s="14"/>
      <c r="GH5" s="14"/>
      <c r="GJ5" s="14"/>
      <c r="GK5" s="14"/>
      <c r="GM5" s="14"/>
      <c r="GN5" s="14"/>
      <c r="GP5" s="14"/>
      <c r="GQ5" s="14"/>
      <c r="GT5" s="13"/>
      <c r="GU5" s="14"/>
      <c r="GW5" s="13"/>
      <c r="GX5" s="14"/>
      <c r="GZ5" s="13"/>
      <c r="HA5" s="14"/>
      <c r="HB5" s="13"/>
      <c r="HD5" s="13"/>
      <c r="HE5" s="14"/>
      <c r="HF5" s="13"/>
      <c r="HH5" s="13"/>
      <c r="HI5" s="14"/>
      <c r="HJ5" s="13"/>
    </row>
    <row r="6" spans="1:220" ht="15.75" customHeight="1" x14ac:dyDescent="0.15">
      <c r="A6" s="3" t="str">
        <v>02.01.1978</v>
      </c>
      <c r="B6" s="3" t="str">
        <v>27.06.2025</v>
      </c>
      <c r="C6" s="34">
        <v>0.90972222222222221</v>
      </c>
      <c r="D6" s="3">
        <v>53</v>
      </c>
      <c r="E6" s="3">
        <v>32</v>
      </c>
      <c r="F6" s="3">
        <v>1130</v>
      </c>
      <c r="G6" s="3">
        <v>99</v>
      </c>
      <c r="H6" s="3">
        <v>0</v>
      </c>
      <c r="L6" s="43" t="s">
        <v>92</v>
      </c>
      <c r="M6" s="51">
        <f>COUNTIF(E:E,"&gt;30")</f>
        <v>9</v>
      </c>
      <c r="N6" s="52" t="s">
        <v>93</v>
      </c>
      <c r="O6" s="51">
        <f>COUNTIF(E:E,15)</f>
        <v>0</v>
      </c>
      <c r="P6" s="53" t="s">
        <v>94</v>
      </c>
      <c r="Q6" s="54">
        <f>COUNTIF(D:D,5)</f>
        <v>0</v>
      </c>
      <c r="R6" s="53" t="s">
        <v>95</v>
      </c>
      <c r="S6" s="54">
        <f>COUNTIF(D:D,55)</f>
        <v>2</v>
      </c>
      <c r="T6" s="59" t="s">
        <v>96</v>
      </c>
      <c r="U6" s="59" t="s">
        <v>97</v>
      </c>
      <c r="V6" s="60">
        <f>COUNTIF(F:F,"=160")</f>
        <v>0</v>
      </c>
      <c r="X6" s="56" t="s">
        <v>98</v>
      </c>
      <c r="Y6" s="57">
        <f>SUM(V36:V42)</f>
        <v>0</v>
      </c>
      <c r="AD6" s="14"/>
      <c r="AE6" s="53" t="s">
        <v>22</v>
      </c>
      <c r="AF6" s="54">
        <f>SUMPRODUCT((MONTH(veri!E3:E497)=5)*(veri!E3:E497&lt;&gt;""))</f>
        <v>0</v>
      </c>
      <c r="AG6" s="14"/>
      <c r="AH6" s="53" t="s">
        <v>99</v>
      </c>
      <c r="AI6" s="54">
        <f>SUMPRODUCT((WEEKDAY(veri!E3:E497,2)=5)*(veri!E3:E497&lt;&gt;""))</f>
        <v>3</v>
      </c>
      <c r="AJ6" s="14"/>
      <c r="AK6" s="53" t="s">
        <v>100</v>
      </c>
      <c r="AL6" s="54">
        <f>COUNTIFS(veri!F:F,"&gt;="&amp;8,veri!F:F,"&lt;"&amp;10)</f>
        <v>0</v>
      </c>
      <c r="AM6" s="14"/>
      <c r="AN6" s="53" t="s">
        <v>101</v>
      </c>
      <c r="AO6" s="54">
        <f>SUMPRODUCT(((veri!E3:E497-veri!D3:D497)/365.25&gt;35)*((veri!E3:E497-veri!D3:D497)/365.25&lt;=40)*(veri!E3:E497&lt;&gt;""))</f>
        <v>0</v>
      </c>
      <c r="AP6" s="14"/>
      <c r="AQ6" s="53" t="s">
        <v>102</v>
      </c>
      <c r="AR6" s="54">
        <f>COUNTIFS(veri!K:K,"&gt;30",veri!K:K,"&lt;=6000")</f>
        <v>1</v>
      </c>
      <c r="AS6" s="54">
        <f>SUMIFS(veri!K:K,veri!K:K,"&gt;30",veri!K:K,"&lt;=6000")</f>
        <v>50</v>
      </c>
      <c r="AT6" s="14"/>
      <c r="AU6" s="14"/>
      <c r="AV6" s="14"/>
      <c r="AW6" s="14"/>
      <c r="AX6" s="13"/>
      <c r="AY6" s="58"/>
      <c r="AZ6" s="14"/>
      <c r="BA6" s="13"/>
      <c r="BB6" s="13"/>
      <c r="BC6" s="58"/>
      <c r="BD6" s="14"/>
      <c r="BE6" s="13"/>
      <c r="BF6" s="13"/>
      <c r="BG6" s="14"/>
      <c r="BH6" s="13"/>
      <c r="BI6" s="13"/>
      <c r="BJ6" s="58"/>
      <c r="BK6" s="14"/>
      <c r="BL6" s="13"/>
      <c r="BM6" s="13"/>
      <c r="BN6" s="58"/>
      <c r="BO6" s="14"/>
      <c r="BP6" s="13"/>
      <c r="BQ6" s="13"/>
      <c r="BR6" s="58"/>
      <c r="BS6" s="14"/>
      <c r="BT6" s="13"/>
      <c r="BU6" s="13"/>
      <c r="BV6" s="58"/>
      <c r="BW6" s="14"/>
      <c r="BX6" s="13"/>
      <c r="BY6" s="13"/>
      <c r="BZ6" s="58"/>
      <c r="CA6" s="14"/>
      <c r="CB6" s="13"/>
      <c r="CC6" s="13"/>
      <c r="CD6" s="14"/>
      <c r="CE6" s="14"/>
      <c r="CF6" s="58"/>
      <c r="CG6" s="58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Q6" s="13"/>
      <c r="DR6" s="13"/>
      <c r="DS6" s="14"/>
      <c r="DT6" s="13"/>
      <c r="DU6" s="13"/>
      <c r="DV6" s="14"/>
      <c r="DW6" s="13"/>
      <c r="DX6" s="13"/>
      <c r="DY6" s="58"/>
      <c r="DZ6" s="14"/>
      <c r="EA6" s="13"/>
      <c r="EB6" s="13"/>
      <c r="EC6" s="58"/>
      <c r="ED6" s="14"/>
      <c r="EE6" s="13"/>
      <c r="EF6" s="13"/>
      <c r="EG6" s="58"/>
      <c r="EH6" s="14"/>
      <c r="EI6" s="13"/>
      <c r="EJ6" s="58"/>
      <c r="EK6" s="14"/>
      <c r="EL6" s="13"/>
      <c r="EM6" s="13"/>
      <c r="EN6" s="58"/>
      <c r="EO6" s="14"/>
      <c r="EP6" s="13"/>
      <c r="EQ6" s="13"/>
      <c r="ER6" s="58"/>
      <c r="ES6" s="14"/>
      <c r="ET6" s="13"/>
      <c r="EU6" s="13"/>
      <c r="EV6" s="58"/>
      <c r="EW6" s="14"/>
      <c r="EX6" s="13"/>
      <c r="EY6" s="13"/>
      <c r="EZ6" s="58"/>
      <c r="FA6" s="14"/>
      <c r="FB6" s="13"/>
      <c r="FC6" s="13"/>
      <c r="FD6" s="58"/>
      <c r="FE6" s="14"/>
      <c r="FF6" s="13"/>
      <c r="FG6" s="13"/>
      <c r="FH6" s="58"/>
      <c r="FI6" s="14"/>
      <c r="FJ6" s="13"/>
      <c r="FK6" s="13"/>
      <c r="FL6" s="58"/>
      <c r="FM6" s="14"/>
      <c r="FN6" s="13"/>
      <c r="FO6" s="13"/>
      <c r="FP6" s="58"/>
      <c r="FQ6" s="14"/>
      <c r="FS6" s="14"/>
      <c r="FT6" s="14"/>
      <c r="FU6" s="14"/>
      <c r="FV6" s="14"/>
      <c r="FW6" s="14"/>
      <c r="FX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T6" s="13"/>
      <c r="GU6" s="13"/>
      <c r="GV6" s="14"/>
      <c r="GW6" s="13"/>
      <c r="GX6" s="13"/>
      <c r="GY6" s="14"/>
      <c r="GZ6" s="13"/>
      <c r="HA6" s="13"/>
      <c r="HB6" s="58"/>
      <c r="HC6" s="14"/>
      <c r="HD6" s="13"/>
      <c r="HE6" s="13"/>
      <c r="HF6" s="58"/>
      <c r="HG6" s="14"/>
      <c r="HH6" s="13"/>
      <c r="HI6" s="13"/>
      <c r="HJ6" s="58"/>
      <c r="HK6" s="14"/>
    </row>
    <row r="7" spans="1:220" ht="15.75" customHeight="1" x14ac:dyDescent="0.15">
      <c r="A7" s="3" t="str">
        <v>16.02.1999</v>
      </c>
      <c r="B7" s="3" t="str">
        <v>21.07.2025</v>
      </c>
      <c r="C7" s="34">
        <v>0.50694444444444442</v>
      </c>
      <c r="D7" s="3">
        <v>96</v>
      </c>
      <c r="E7" s="3">
        <v>35</v>
      </c>
      <c r="F7" s="3">
        <v>380</v>
      </c>
      <c r="G7" s="3">
        <v>52</v>
      </c>
      <c r="H7" s="3">
        <v>2</v>
      </c>
      <c r="L7" s="43" t="s">
        <v>103</v>
      </c>
      <c r="M7" s="51">
        <f>M2-M6</f>
        <v>0</v>
      </c>
      <c r="N7" s="52" t="s">
        <v>104</v>
      </c>
      <c r="O7" s="51">
        <f>COUNTIF(E:E,16)</f>
        <v>0</v>
      </c>
      <c r="P7" s="53" t="s">
        <v>105</v>
      </c>
      <c r="Q7" s="54">
        <f>COUNTIF(D:D,6)</f>
        <v>0</v>
      </c>
      <c r="R7" s="53" t="s">
        <v>106</v>
      </c>
      <c r="S7" s="54">
        <f>COUNTIF(D:D,56)</f>
        <v>0</v>
      </c>
      <c r="T7" s="59" t="s">
        <v>107</v>
      </c>
      <c r="U7" s="59" t="s">
        <v>108</v>
      </c>
      <c r="V7" s="60">
        <f>COUNTIF(F:F,"=170")</f>
        <v>0</v>
      </c>
      <c r="X7" s="56" t="s">
        <v>109</v>
      </c>
      <c r="Y7" s="57">
        <f>SUM(V44:V46)</f>
        <v>0</v>
      </c>
      <c r="AD7" s="14"/>
      <c r="AE7" s="53" t="s">
        <v>23</v>
      </c>
      <c r="AF7" s="54">
        <f>SUMPRODUCT((MONTH(veri!E3:E497)=6)*(veri!E3:E497&lt;&gt;""))</f>
        <v>4</v>
      </c>
      <c r="AG7" s="14"/>
      <c r="AH7" s="53" t="s">
        <v>110</v>
      </c>
      <c r="AI7" s="54">
        <f>SUMPRODUCT((WEEKDAY(veri!E3:E497,2)=6)*(veri!E3:E497&lt;&gt;""))</f>
        <v>2</v>
      </c>
      <c r="AJ7" s="14"/>
      <c r="AK7" s="53" t="s">
        <v>111</v>
      </c>
      <c r="AL7" s="54">
        <f>COUNTIFS(veri!F:F,"&gt;="&amp;10,veri!F:F,"&lt;"&amp;12)</f>
        <v>0</v>
      </c>
      <c r="AM7" s="14"/>
      <c r="AN7" s="53" t="s">
        <v>112</v>
      </c>
      <c r="AO7" s="54">
        <f>SUMPRODUCT(((veri!E3:E497-veri!D3:D497)/365.25&gt;40)*((veri!E3:E497-veri!D3:D497)/365.25&lt;=45)*(veri!E3:E497&lt;&gt;""))</f>
        <v>2</v>
      </c>
      <c r="AP7" s="14"/>
      <c r="AQ7" s="61" t="s">
        <v>113</v>
      </c>
      <c r="AR7" s="61">
        <f>SUM(AR2:AR6)</f>
        <v>4</v>
      </c>
      <c r="AS7" s="61">
        <f>SUM(AS2:AS6)</f>
        <v>82</v>
      </c>
      <c r="AT7" s="14"/>
      <c r="AU7" s="14"/>
      <c r="AV7" s="14"/>
      <c r="AW7" s="14"/>
      <c r="AX7" s="14"/>
      <c r="AY7" s="13"/>
      <c r="BA7" s="13"/>
      <c r="BB7" s="14"/>
      <c r="BC7" s="13"/>
      <c r="BE7" s="13"/>
      <c r="BF7" s="14"/>
      <c r="BH7" s="13"/>
      <c r="BI7" s="14"/>
      <c r="BJ7" s="13"/>
      <c r="BL7" s="13"/>
      <c r="BM7" s="14"/>
      <c r="BN7" s="13"/>
      <c r="BP7" s="13"/>
      <c r="BQ7" s="14"/>
      <c r="BR7" s="13"/>
      <c r="BT7" s="13"/>
      <c r="BU7" s="14"/>
      <c r="BV7" s="13"/>
      <c r="BX7" s="13"/>
      <c r="BY7" s="14"/>
      <c r="BZ7" s="13"/>
      <c r="CB7" s="13"/>
      <c r="CC7" s="14"/>
      <c r="CD7" s="14"/>
      <c r="CE7" s="14"/>
      <c r="CF7" s="14"/>
      <c r="CG7" s="14"/>
      <c r="CH7" s="14"/>
      <c r="CI7" s="14"/>
      <c r="CJ7" s="49"/>
      <c r="CK7" s="50"/>
      <c r="CL7" s="14"/>
      <c r="CM7" s="49"/>
      <c r="CN7" s="50"/>
      <c r="CO7" s="14"/>
      <c r="CP7" s="49"/>
      <c r="CQ7" s="50"/>
      <c r="CR7" s="14"/>
      <c r="CS7" s="49"/>
      <c r="CT7" s="50"/>
      <c r="CU7" s="14"/>
      <c r="CV7" s="49"/>
      <c r="CW7" s="50"/>
      <c r="CX7" s="14"/>
      <c r="CY7" s="49"/>
      <c r="CZ7" s="50"/>
      <c r="DA7" s="14"/>
      <c r="DB7" s="49"/>
      <c r="DC7" s="50"/>
      <c r="DD7" s="14"/>
      <c r="DE7" s="49"/>
      <c r="DF7" s="50"/>
      <c r="DG7" s="14"/>
      <c r="DH7" s="49"/>
      <c r="DI7" s="50"/>
      <c r="DJ7" s="14"/>
      <c r="DK7" s="49"/>
      <c r="DL7" s="50"/>
      <c r="DM7" s="14"/>
      <c r="DN7" s="49"/>
      <c r="DO7" s="50"/>
      <c r="DQ7" s="13"/>
      <c r="DR7" s="14"/>
      <c r="DT7" s="13"/>
      <c r="DU7" s="14"/>
      <c r="DW7" s="13"/>
      <c r="DX7" s="14"/>
      <c r="DY7" s="13"/>
      <c r="EA7" s="13"/>
      <c r="EB7" s="14"/>
      <c r="EC7" s="13"/>
      <c r="EE7" s="13"/>
      <c r="EF7" s="14"/>
      <c r="EG7" s="13"/>
      <c r="EI7" s="13"/>
      <c r="EJ7" s="13"/>
      <c r="EL7" s="13"/>
      <c r="EM7" s="14"/>
      <c r="EN7" s="13"/>
      <c r="EP7" s="13"/>
      <c r="EQ7" s="14"/>
      <c r="ER7" s="13"/>
      <c r="ET7" s="13"/>
      <c r="EU7" s="14"/>
      <c r="EV7" s="13"/>
      <c r="EX7" s="13"/>
      <c r="EY7" s="14"/>
      <c r="EZ7" s="13"/>
      <c r="FB7" s="13"/>
      <c r="FC7" s="14"/>
      <c r="FD7" s="13"/>
      <c r="FF7" s="13"/>
      <c r="FG7" s="14"/>
      <c r="FH7" s="13"/>
      <c r="FJ7" s="13"/>
      <c r="FK7" s="14"/>
      <c r="FL7" s="13"/>
      <c r="FN7" s="13"/>
      <c r="FO7" s="14"/>
      <c r="FP7" s="13"/>
      <c r="FS7" s="14"/>
      <c r="FT7" s="14"/>
      <c r="FV7" s="14"/>
      <c r="FW7" s="14"/>
      <c r="FZ7" s="14"/>
      <c r="GA7" s="14"/>
      <c r="GC7" s="14"/>
      <c r="GD7" s="14"/>
      <c r="GE7" s="14"/>
      <c r="GG7" s="14"/>
      <c r="GH7" s="14"/>
      <c r="GJ7" s="14"/>
      <c r="GK7" s="14"/>
      <c r="GM7" s="14"/>
      <c r="GN7" s="14"/>
      <c r="GP7" s="14"/>
      <c r="GQ7" s="14"/>
      <c r="GT7" s="13"/>
      <c r="GU7" s="14"/>
      <c r="GW7" s="13"/>
      <c r="GX7" s="14"/>
      <c r="GZ7" s="13"/>
      <c r="HA7" s="14"/>
      <c r="HB7" s="13"/>
      <c r="HD7" s="13"/>
      <c r="HE7" s="14"/>
      <c r="HF7" s="13"/>
      <c r="HH7" s="13"/>
      <c r="HI7" s="14"/>
      <c r="HJ7" s="13"/>
    </row>
    <row r="8" spans="1:220" ht="15.75" customHeight="1" x14ac:dyDescent="0.15">
      <c r="A8" s="3" t="str">
        <v>26.05.1982</v>
      </c>
      <c r="B8" s="3" t="str">
        <v>24.10.2025</v>
      </c>
      <c r="C8" s="34">
        <v>0.75347222222222221</v>
      </c>
      <c r="D8" s="3">
        <v>55</v>
      </c>
      <c r="E8" s="3">
        <v>32</v>
      </c>
      <c r="F8" s="3">
        <v>340</v>
      </c>
      <c r="G8" s="3">
        <v>44</v>
      </c>
      <c r="H8" s="3">
        <v>26</v>
      </c>
      <c r="M8" s="51"/>
      <c r="N8" s="52" t="s">
        <v>114</v>
      </c>
      <c r="O8" s="51">
        <f>COUNTIF(E:E,17)</f>
        <v>0</v>
      </c>
      <c r="P8" s="53" t="s">
        <v>115</v>
      </c>
      <c r="Q8" s="54">
        <f>COUNTIF(D:D,7)</f>
        <v>0</v>
      </c>
      <c r="R8" s="53" t="s">
        <v>116</v>
      </c>
      <c r="S8" s="54">
        <f>COUNTIF(D:D,57)</f>
        <v>0</v>
      </c>
      <c r="T8" s="59" t="s">
        <v>117</v>
      </c>
      <c r="U8" s="59" t="s">
        <v>118</v>
      </c>
      <c r="V8" s="60">
        <f>COUNTIF(F:F,"=180")</f>
        <v>0</v>
      </c>
      <c r="X8" s="56" t="s">
        <v>119</v>
      </c>
      <c r="Y8" s="57">
        <f>SUM(V48:V52)</f>
        <v>0</v>
      </c>
      <c r="AD8" s="14"/>
      <c r="AE8" s="53" t="s">
        <v>25</v>
      </c>
      <c r="AF8" s="54">
        <f>SUMPRODUCT((MONTH(veri!E3:E497)=7)*(veri!E3:E497&lt;&gt;""))</f>
        <v>1</v>
      </c>
      <c r="AG8" s="14"/>
      <c r="AH8" s="53" t="s">
        <v>120</v>
      </c>
      <c r="AI8" s="54">
        <f>SUMPRODUCT((WEEKDAY(veri!E3:E497,2)=7)*(veri!E3:E497&lt;&gt;""))</f>
        <v>0</v>
      </c>
      <c r="AJ8" s="14"/>
      <c r="AK8" s="53" t="s">
        <v>121</v>
      </c>
      <c r="AL8" s="54">
        <f>COUNTIFS(veri!F:F,"&gt;="&amp;12,veri!F:F,"&lt;"&amp;14)</f>
        <v>0</v>
      </c>
      <c r="AM8" s="14"/>
      <c r="AN8" s="53" t="s">
        <v>122</v>
      </c>
      <c r="AO8" s="54">
        <f>SUMPRODUCT(((veri!E3:E497-veri!D3:D497)/365.25&gt;45)*((veri!E3:E497-veri!D3:D497)/365.25&lt;=50)*(veri!E3:E497&lt;&gt;""))</f>
        <v>3</v>
      </c>
      <c r="AP8" s="14"/>
      <c r="AQ8" s="14"/>
      <c r="AR8" s="14"/>
      <c r="AS8" s="14"/>
      <c r="AT8" s="14"/>
      <c r="AU8" s="14"/>
      <c r="AV8" s="14"/>
      <c r="AW8" s="14"/>
      <c r="AX8" s="13"/>
      <c r="AY8" s="58"/>
      <c r="AZ8" s="14"/>
      <c r="BA8" s="13"/>
      <c r="BB8" s="13"/>
      <c r="BC8" s="58"/>
      <c r="BD8" s="14"/>
      <c r="BE8" s="13"/>
      <c r="BF8" s="13"/>
      <c r="BG8" s="14"/>
      <c r="BH8" s="13"/>
      <c r="BI8" s="13"/>
      <c r="BJ8" s="58"/>
      <c r="BK8" s="14"/>
      <c r="BL8" s="13"/>
      <c r="BM8" s="13"/>
      <c r="BN8" s="58"/>
      <c r="BO8" s="14"/>
      <c r="BP8" s="13"/>
      <c r="BQ8" s="13"/>
      <c r="BR8" s="58"/>
      <c r="BS8" s="14"/>
      <c r="BT8" s="13"/>
      <c r="BU8" s="13"/>
      <c r="BV8" s="58"/>
      <c r="BW8" s="14"/>
      <c r="BX8" s="13"/>
      <c r="BY8" s="13"/>
      <c r="BZ8" s="58"/>
      <c r="CA8" s="14"/>
      <c r="CB8" s="13"/>
      <c r="CC8" s="13"/>
      <c r="CD8" s="14"/>
      <c r="CE8" s="14"/>
      <c r="CF8" s="58"/>
      <c r="CG8" s="58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Q8" s="13"/>
      <c r="DR8" s="13"/>
      <c r="DS8" s="14"/>
      <c r="DT8" s="13"/>
      <c r="DU8" s="13"/>
      <c r="DV8" s="14"/>
      <c r="DW8" s="13"/>
      <c r="DX8" s="13"/>
      <c r="DY8" s="58"/>
      <c r="DZ8" s="14"/>
      <c r="EA8" s="13"/>
      <c r="EB8" s="13"/>
      <c r="EC8" s="58"/>
      <c r="ED8" s="14"/>
      <c r="EE8" s="13"/>
      <c r="EF8" s="13"/>
      <c r="EG8" s="58"/>
      <c r="EH8" s="14"/>
      <c r="EI8" s="13"/>
      <c r="EJ8" s="58"/>
      <c r="EK8" s="14"/>
      <c r="EL8" s="13"/>
      <c r="EM8" s="13"/>
      <c r="EN8" s="58"/>
      <c r="EO8" s="14"/>
      <c r="EP8" s="13"/>
      <c r="EQ8" s="13"/>
      <c r="ER8" s="58"/>
      <c r="ES8" s="14"/>
      <c r="ET8" s="13"/>
      <c r="EU8" s="13"/>
      <c r="EV8" s="58"/>
      <c r="EW8" s="14"/>
      <c r="EX8" s="13"/>
      <c r="EY8" s="13"/>
      <c r="EZ8" s="58"/>
      <c r="FA8" s="14"/>
      <c r="FB8" s="13"/>
      <c r="FC8" s="13"/>
      <c r="FD8" s="58"/>
      <c r="FE8" s="14"/>
      <c r="FF8" s="13"/>
      <c r="FG8" s="13"/>
      <c r="FH8" s="58"/>
      <c r="FI8" s="14"/>
      <c r="FJ8" s="13"/>
      <c r="FK8" s="13"/>
      <c r="FL8" s="58"/>
      <c r="FM8" s="14"/>
      <c r="FN8" s="13"/>
      <c r="FO8" s="13"/>
      <c r="FP8" s="58"/>
      <c r="FQ8" s="14"/>
      <c r="FS8" s="14"/>
      <c r="FT8" s="14"/>
      <c r="FU8" s="14"/>
      <c r="FV8" s="14"/>
      <c r="FW8" s="14"/>
      <c r="FX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T8" s="13"/>
      <c r="GU8" s="13"/>
      <c r="GV8" s="14"/>
      <c r="GW8" s="13"/>
      <c r="GX8" s="13"/>
      <c r="GY8" s="14"/>
      <c r="GZ8" s="13"/>
      <c r="HA8" s="13"/>
      <c r="HB8" s="58"/>
      <c r="HC8" s="14"/>
      <c r="HD8" s="13"/>
      <c r="HE8" s="13"/>
      <c r="HF8" s="58"/>
      <c r="HG8" s="14"/>
      <c r="HH8" s="13"/>
      <c r="HI8" s="13"/>
      <c r="HJ8" s="58"/>
      <c r="HK8" s="14"/>
    </row>
    <row r="9" spans="1:220" ht="15.75" customHeight="1" x14ac:dyDescent="0.15">
      <c r="A9" s="3" t="str">
        <v>19.07.1991</v>
      </c>
      <c r="B9" s="3" t="str">
        <v>25.11.2025</v>
      </c>
      <c r="C9" s="34">
        <v>0.42708333333333331</v>
      </c>
      <c r="D9" s="3">
        <v>70</v>
      </c>
      <c r="E9" s="3">
        <v>33</v>
      </c>
      <c r="F9" s="3">
        <v>220</v>
      </c>
      <c r="G9" s="3">
        <v>45</v>
      </c>
      <c r="H9" s="3">
        <v>0</v>
      </c>
      <c r="L9" s="43" t="s">
        <v>123</v>
      </c>
      <c r="M9" s="51">
        <f>SUM(H2:H500)</f>
        <v>82</v>
      </c>
      <c r="N9" s="52" t="s">
        <v>124</v>
      </c>
      <c r="O9" s="51">
        <f>COUNTIF(E:E,18)</f>
        <v>0</v>
      </c>
      <c r="P9" s="53" t="s">
        <v>125</v>
      </c>
      <c r="Q9" s="54">
        <f>COUNTIF(D:D,8)</f>
        <v>0</v>
      </c>
      <c r="R9" s="53" t="s">
        <v>126</v>
      </c>
      <c r="S9" s="54">
        <f>COUNTIF(D:D,58)</f>
        <v>0</v>
      </c>
      <c r="T9" s="59" t="s">
        <v>127</v>
      </c>
      <c r="U9" s="59" t="s">
        <v>128</v>
      </c>
      <c r="V9" s="60">
        <f>COUNTIF(F:F,"=190")</f>
        <v>0</v>
      </c>
      <c r="X9" s="56" t="s">
        <v>129</v>
      </c>
      <c r="Y9" s="57">
        <f>SUM(V54:V61)</f>
        <v>0</v>
      </c>
      <c r="AD9" s="14"/>
      <c r="AE9" s="53" t="s">
        <v>26</v>
      </c>
      <c r="AF9" s="54">
        <f>SUMPRODUCT((MONTH(veri!E3:E497)=8)*(veri!E3:E497&lt;&gt;""))</f>
        <v>0</v>
      </c>
      <c r="AG9" s="14"/>
      <c r="AH9" s="61" t="s">
        <v>113</v>
      </c>
      <c r="AI9" s="61">
        <f>SUM(AI2:AI8)</f>
        <v>8</v>
      </c>
      <c r="AJ9" s="14"/>
      <c r="AK9" s="53" t="s">
        <v>130</v>
      </c>
      <c r="AL9" s="54">
        <f>COUNTIFS(veri!F:F,"&gt;="&amp;14,veri!F:F,"&lt;"&amp;16)</f>
        <v>0</v>
      </c>
      <c r="AM9" s="14"/>
      <c r="AN9" s="53" t="s">
        <v>131</v>
      </c>
      <c r="AO9" s="54">
        <f>SUMPRODUCT(((veri!E3:E497-veri!D3:D497)/365.25&gt;50)*(veri!E3:E497&lt;&gt;""))</f>
        <v>1</v>
      </c>
      <c r="AP9" s="14"/>
      <c r="AQ9" s="5" t="s">
        <v>44</v>
      </c>
      <c r="AR9" s="45" t="s">
        <v>47</v>
      </c>
      <c r="AS9" s="46" t="s">
        <v>48</v>
      </c>
      <c r="AT9" s="14"/>
      <c r="AU9" s="14"/>
      <c r="AV9" s="14"/>
      <c r="AW9" s="14"/>
      <c r="AX9" s="14"/>
      <c r="AY9" s="13"/>
      <c r="BA9" s="13"/>
      <c r="BB9" s="14"/>
      <c r="BC9" s="13"/>
      <c r="BE9" s="13"/>
      <c r="BF9" s="14"/>
      <c r="BH9" s="13"/>
      <c r="BI9" s="14"/>
      <c r="BJ9" s="13"/>
      <c r="BL9" s="13"/>
      <c r="BM9" s="14"/>
      <c r="BN9" s="13"/>
      <c r="BP9" s="13"/>
      <c r="BQ9" s="14"/>
      <c r="BR9" s="13"/>
      <c r="BT9" s="13"/>
      <c r="BU9" s="14"/>
      <c r="BV9" s="13"/>
      <c r="BX9" s="13"/>
      <c r="BY9" s="14"/>
      <c r="BZ9" s="13"/>
      <c r="CB9" s="13"/>
      <c r="CC9" s="14"/>
      <c r="CF9" s="14"/>
      <c r="CG9" s="14"/>
      <c r="CH9" s="14"/>
      <c r="CI9" s="14"/>
      <c r="CJ9" s="49"/>
      <c r="CK9" s="50"/>
      <c r="CL9" s="14"/>
      <c r="CM9" s="49"/>
      <c r="CN9" s="50"/>
      <c r="CO9" s="14"/>
      <c r="CP9" s="49"/>
      <c r="CQ9" s="50"/>
      <c r="CR9" s="14"/>
      <c r="CS9" s="49"/>
      <c r="CT9" s="50"/>
      <c r="CU9" s="14"/>
      <c r="CV9" s="49"/>
      <c r="CW9" s="50"/>
      <c r="CX9" s="14"/>
      <c r="CY9" s="49"/>
      <c r="CZ9" s="50"/>
      <c r="DA9" s="14"/>
      <c r="DB9" s="49"/>
      <c r="DC9" s="50"/>
      <c r="DD9" s="14"/>
      <c r="DE9" s="49"/>
      <c r="DF9" s="50"/>
      <c r="DG9" s="14"/>
      <c r="DH9" s="49"/>
      <c r="DI9" s="50"/>
      <c r="DJ9" s="14"/>
      <c r="DK9" s="49"/>
      <c r="DL9" s="50"/>
      <c r="DM9" s="14"/>
      <c r="DN9" s="49"/>
      <c r="DO9" s="50"/>
      <c r="DQ9" s="13"/>
      <c r="DR9" s="14"/>
      <c r="DT9" s="13"/>
      <c r="DU9" s="14"/>
      <c r="DW9" s="13"/>
      <c r="DX9" s="14"/>
      <c r="DY9" s="13"/>
      <c r="EA9" s="13"/>
      <c r="EB9" s="14"/>
      <c r="EC9" s="13"/>
      <c r="EE9" s="13"/>
      <c r="EF9" s="14"/>
      <c r="EG9" s="13"/>
      <c r="EI9" s="13"/>
      <c r="EJ9" s="13"/>
      <c r="EL9" s="13"/>
      <c r="EM9" s="14"/>
      <c r="EN9" s="13"/>
      <c r="EP9" s="13"/>
      <c r="EQ9" s="14"/>
      <c r="ER9" s="13"/>
      <c r="ET9" s="13"/>
      <c r="EU9" s="14"/>
      <c r="EV9" s="13"/>
      <c r="EX9" s="13"/>
      <c r="EY9" s="14"/>
      <c r="EZ9" s="13"/>
      <c r="FB9" s="13"/>
      <c r="FC9" s="14"/>
      <c r="FD9" s="13"/>
      <c r="FF9" s="13"/>
      <c r="FG9" s="14"/>
      <c r="FH9" s="13"/>
      <c r="FJ9" s="13"/>
      <c r="FK9" s="14"/>
      <c r="FL9" s="13"/>
      <c r="FN9" s="13"/>
      <c r="FO9" s="14"/>
      <c r="FP9" s="13"/>
      <c r="FS9" s="14"/>
      <c r="FV9" s="14"/>
      <c r="FZ9" s="14"/>
      <c r="GA9" s="14"/>
      <c r="GC9" s="14"/>
      <c r="GD9" s="14"/>
      <c r="GE9" s="14"/>
      <c r="GG9" s="14"/>
      <c r="GH9" s="14"/>
      <c r="GJ9" s="14"/>
      <c r="GK9" s="14"/>
      <c r="GM9" s="14"/>
      <c r="GN9" s="14"/>
      <c r="GP9" s="14"/>
      <c r="GQ9" s="14"/>
      <c r="GT9" s="13"/>
      <c r="GU9" s="14"/>
      <c r="GW9" s="13"/>
      <c r="GX9" s="14"/>
      <c r="GZ9" s="13"/>
      <c r="HA9" s="14"/>
      <c r="HB9" s="13"/>
      <c r="HD9" s="13"/>
      <c r="HE9" s="14"/>
      <c r="HF9" s="13"/>
      <c r="HH9" s="13"/>
      <c r="HI9" s="14"/>
      <c r="HJ9" s="13"/>
    </row>
    <row r="10" spans="1:220" ht="15.75" customHeight="1" x14ac:dyDescent="0.15">
      <c r="A10" s="3" t="str">
        <v>27.10.1981</v>
      </c>
      <c r="B10" s="3" t="str">
        <v>01.12.2025</v>
      </c>
      <c r="C10" s="34">
        <v>0.51388888888888895</v>
      </c>
      <c r="D10" s="3">
        <v>86</v>
      </c>
      <c r="E10" s="3">
        <v>33</v>
      </c>
      <c r="F10" s="3">
        <v>440</v>
      </c>
      <c r="G10" s="3">
        <v>30</v>
      </c>
      <c r="H10" s="3">
        <v>4</v>
      </c>
      <c r="N10" s="52" t="s">
        <v>132</v>
      </c>
      <c r="O10" s="51">
        <f>COUNTIF(E:E,19)</f>
        <v>0</v>
      </c>
      <c r="P10" s="53" t="s">
        <v>133</v>
      </c>
      <c r="Q10" s="54">
        <f>COUNTIF(D:D,9)</f>
        <v>0</v>
      </c>
      <c r="R10" s="53" t="s">
        <v>134</v>
      </c>
      <c r="S10" s="54">
        <f>COUNTIF(D:D,59)</f>
        <v>1</v>
      </c>
      <c r="T10" s="1" t="s">
        <v>135</v>
      </c>
      <c r="U10" s="1"/>
      <c r="V10" s="55"/>
      <c r="X10" s="56" t="s">
        <v>136</v>
      </c>
      <c r="Y10" s="57">
        <f>SUM(V63:V66)</f>
        <v>0</v>
      </c>
      <c r="AD10" s="14"/>
      <c r="AE10" s="53" t="s">
        <v>27</v>
      </c>
      <c r="AF10" s="54">
        <f>SUMPRODUCT((MONTH(veri!E3:E497)=9)*(veri!E3:E497&lt;&gt;""))</f>
        <v>0</v>
      </c>
      <c r="AG10" s="14"/>
      <c r="AH10" s="14"/>
      <c r="AI10" s="14"/>
      <c r="AJ10" s="14"/>
      <c r="AK10" s="53" t="s">
        <v>137</v>
      </c>
      <c r="AL10" s="54">
        <f>COUNTIFS(veri!F:F,"&gt;="&amp;16,veri!F:F,"&lt;"&amp;18)</f>
        <v>0</v>
      </c>
      <c r="AM10" s="14"/>
      <c r="AN10" s="61" t="s">
        <v>113</v>
      </c>
      <c r="AO10" s="61">
        <f>SUM(AO2:AO9)</f>
        <v>8</v>
      </c>
      <c r="AP10" s="14"/>
      <c r="AQ10" s="53" t="s">
        <v>138</v>
      </c>
      <c r="AR10" s="54">
        <f>SUMIFS(veri!K:K,veri!H:H,"&lt;=22")</f>
        <v>0</v>
      </c>
      <c r="AS10" s="54">
        <f>SUMIFS(veri!K:K,veri!H:H,"&gt;=31")</f>
        <v>82</v>
      </c>
      <c r="AT10" s="14"/>
      <c r="AU10" s="14"/>
      <c r="AV10" s="14"/>
      <c r="AW10" s="14"/>
      <c r="AX10" s="13"/>
      <c r="AY10" s="58"/>
      <c r="AZ10" s="14"/>
      <c r="BA10" s="13"/>
      <c r="BB10" s="13"/>
      <c r="BC10" s="58"/>
      <c r="BD10" s="14"/>
      <c r="BE10" s="13"/>
      <c r="BF10" s="13"/>
      <c r="BG10" s="14"/>
      <c r="BH10" s="13"/>
      <c r="BI10" s="13"/>
      <c r="BJ10" s="58"/>
      <c r="BK10" s="14"/>
      <c r="BL10" s="13"/>
      <c r="BM10" s="13"/>
      <c r="BN10" s="58"/>
      <c r="BO10" s="14"/>
      <c r="BP10" s="13"/>
      <c r="BQ10" s="13"/>
      <c r="BR10" s="58"/>
      <c r="BS10" s="14"/>
      <c r="BT10" s="13"/>
      <c r="BU10" s="13"/>
      <c r="BV10" s="58"/>
      <c r="BW10" s="14"/>
      <c r="BX10" s="13"/>
      <c r="BY10" s="13"/>
      <c r="BZ10" s="58"/>
      <c r="CA10" s="14"/>
      <c r="CB10" s="13"/>
      <c r="CC10" s="13"/>
      <c r="CF10" s="58"/>
      <c r="CG10" s="58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Q10" s="13"/>
      <c r="DR10" s="13"/>
      <c r="DS10" s="14"/>
      <c r="DT10" s="13"/>
      <c r="DU10" s="13"/>
      <c r="DV10" s="14"/>
      <c r="DW10" s="13"/>
      <c r="DX10" s="13"/>
      <c r="DY10" s="58"/>
      <c r="DZ10" s="14"/>
      <c r="EA10" s="13"/>
      <c r="EB10" s="13"/>
      <c r="EC10" s="58"/>
      <c r="ED10" s="14"/>
      <c r="EE10" s="13"/>
      <c r="EF10" s="13"/>
      <c r="EG10" s="58"/>
      <c r="EH10" s="14"/>
      <c r="EI10" s="13"/>
      <c r="EJ10" s="58"/>
      <c r="EK10" s="14"/>
      <c r="EL10" s="13"/>
      <c r="EM10" s="13"/>
      <c r="EN10" s="58"/>
      <c r="EO10" s="14"/>
      <c r="EP10" s="13"/>
      <c r="EQ10" s="13"/>
      <c r="ER10" s="58"/>
      <c r="ES10" s="14"/>
      <c r="ET10" s="13"/>
      <c r="EU10" s="13"/>
      <c r="EV10" s="58"/>
      <c r="EW10" s="14"/>
      <c r="EX10" s="13"/>
      <c r="EY10" s="13"/>
      <c r="EZ10" s="58"/>
      <c r="FA10" s="14"/>
      <c r="FB10" s="13"/>
      <c r="FC10" s="13"/>
      <c r="FD10" s="58"/>
      <c r="FE10" s="14"/>
      <c r="FF10" s="13"/>
      <c r="FG10" s="13"/>
      <c r="FH10" s="58"/>
      <c r="FI10" s="14"/>
      <c r="FJ10" s="13"/>
      <c r="FK10" s="13"/>
      <c r="FL10" s="58"/>
      <c r="FM10" s="14"/>
      <c r="FN10" s="13"/>
      <c r="FO10" s="13"/>
      <c r="FP10" s="58"/>
      <c r="FQ10" s="14"/>
      <c r="FS10" s="14"/>
      <c r="FU10" s="14"/>
      <c r="FV10" s="14"/>
      <c r="FX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T10" s="13"/>
      <c r="GU10" s="13"/>
      <c r="GV10" s="14"/>
      <c r="GW10" s="13"/>
      <c r="GX10" s="13"/>
      <c r="GY10" s="14"/>
      <c r="GZ10" s="13"/>
      <c r="HA10" s="13"/>
      <c r="HB10" s="58"/>
      <c r="HC10" s="14"/>
      <c r="HD10" s="13"/>
      <c r="HE10" s="13"/>
      <c r="HF10" s="58"/>
      <c r="HG10" s="14"/>
      <c r="HH10" s="13"/>
      <c r="HI10" s="13"/>
      <c r="HJ10" s="58"/>
      <c r="HK10" s="14"/>
    </row>
    <row r="11" spans="1:220" ht="15.75" customHeight="1" x14ac:dyDescent="0.15">
      <c r="A11" s="3">
        <v>0</v>
      </c>
      <c r="B11" s="3">
        <v>0</v>
      </c>
      <c r="C11" s="34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N11" s="52" t="s">
        <v>139</v>
      </c>
      <c r="O11" s="51">
        <f>COUNTIF(E:E,20)</f>
        <v>0</v>
      </c>
      <c r="P11" s="53" t="s">
        <v>140</v>
      </c>
      <c r="Q11" s="54">
        <f>COUNTIF(D:D,10)</f>
        <v>0</v>
      </c>
      <c r="R11" s="53" t="s">
        <v>141</v>
      </c>
      <c r="S11" s="54">
        <f>COUNTIF(D:D,60)</f>
        <v>0</v>
      </c>
      <c r="T11" s="59" t="s">
        <v>142</v>
      </c>
      <c r="U11" s="59" t="s">
        <v>143</v>
      </c>
      <c r="V11" s="60">
        <f>COUNTIF(F:F,"=210")</f>
        <v>0</v>
      </c>
      <c r="X11" s="56" t="s">
        <v>144</v>
      </c>
      <c r="Y11" s="57">
        <f>SUM(V68:V72)</f>
        <v>0</v>
      </c>
      <c r="AD11" s="14"/>
      <c r="AE11" s="53" t="s">
        <v>29</v>
      </c>
      <c r="AF11" s="54">
        <f>SUMPRODUCT((MONTH(veri!E3:E497)=10)*(veri!E3:E497&lt;&gt;""))</f>
        <v>1</v>
      </c>
      <c r="AG11" s="14"/>
      <c r="AH11" s="14"/>
      <c r="AI11" s="14"/>
      <c r="AJ11" s="14"/>
      <c r="AK11" s="53" t="s">
        <v>145</v>
      </c>
      <c r="AL11" s="54">
        <f>COUNTIFS(veri!F:F,"&gt;="&amp;18,veri!F:F,"&lt;"&amp;20)</f>
        <v>0</v>
      </c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3"/>
      <c r="BA11" s="13"/>
      <c r="BB11" s="14"/>
      <c r="BC11" s="13"/>
      <c r="BE11" s="13"/>
      <c r="BF11" s="14"/>
      <c r="BH11" s="13"/>
      <c r="BI11" s="14"/>
      <c r="BJ11" s="13"/>
      <c r="BL11" s="13"/>
      <c r="BM11" s="14"/>
      <c r="BN11" s="13"/>
      <c r="BP11" s="13"/>
      <c r="BQ11" s="14"/>
      <c r="BR11" s="13"/>
      <c r="BT11" s="13"/>
      <c r="BU11" s="14"/>
      <c r="BV11" s="13"/>
      <c r="BX11" s="13"/>
      <c r="BY11" s="14"/>
      <c r="BZ11" s="13"/>
      <c r="CB11" s="13"/>
      <c r="CC11" s="14"/>
      <c r="CF11" s="14"/>
      <c r="CG11" s="14"/>
      <c r="CH11" s="14"/>
      <c r="CI11" s="14"/>
      <c r="CJ11" s="49"/>
      <c r="CK11" s="50"/>
      <c r="CL11" s="14"/>
      <c r="CM11" s="49"/>
      <c r="CN11" s="50"/>
      <c r="CO11" s="14"/>
      <c r="CP11" s="49"/>
      <c r="CQ11" s="50"/>
      <c r="CR11" s="14"/>
      <c r="CS11" s="49"/>
      <c r="CT11" s="50"/>
      <c r="CU11" s="14"/>
      <c r="CV11" s="49"/>
      <c r="CW11" s="50"/>
      <c r="CX11" s="14"/>
      <c r="CY11" s="49"/>
      <c r="CZ11" s="50"/>
      <c r="DA11" s="14"/>
      <c r="DB11" s="49"/>
      <c r="DC11" s="50"/>
      <c r="DD11" s="14"/>
      <c r="DE11" s="49"/>
      <c r="DF11" s="50"/>
      <c r="DG11" s="14"/>
      <c r="DH11" s="49"/>
      <c r="DI11" s="50"/>
      <c r="DJ11" s="14"/>
      <c r="DK11" s="49"/>
      <c r="DL11" s="50"/>
      <c r="DM11" s="14"/>
      <c r="DN11" s="49"/>
      <c r="DO11" s="50"/>
      <c r="DQ11" s="13"/>
      <c r="DR11" s="14"/>
      <c r="DT11" s="13"/>
      <c r="DU11" s="14"/>
      <c r="DW11" s="13"/>
      <c r="DX11" s="14"/>
      <c r="DY11" s="13"/>
      <c r="EA11" s="13"/>
      <c r="EB11" s="14"/>
      <c r="EC11" s="13"/>
      <c r="EE11" s="13"/>
      <c r="EF11" s="14"/>
      <c r="EG11" s="13"/>
      <c r="EI11" s="13"/>
      <c r="EJ11" s="13"/>
      <c r="EL11" s="13"/>
      <c r="EM11" s="14"/>
      <c r="EN11" s="13"/>
      <c r="EP11" s="13"/>
      <c r="EQ11" s="14"/>
      <c r="ER11" s="13"/>
      <c r="ET11" s="13"/>
      <c r="EU11" s="14"/>
      <c r="EV11" s="13"/>
      <c r="EX11" s="13"/>
      <c r="EY11" s="14"/>
      <c r="EZ11" s="13"/>
      <c r="FB11" s="13"/>
      <c r="FC11" s="14"/>
      <c r="FD11" s="13"/>
      <c r="FF11" s="13"/>
      <c r="FG11" s="14"/>
      <c r="FH11" s="13"/>
      <c r="FJ11" s="13"/>
      <c r="FK11" s="14"/>
      <c r="FL11" s="13"/>
      <c r="FN11" s="13"/>
      <c r="FO11" s="14"/>
      <c r="FP11" s="13"/>
      <c r="FU11" s="14"/>
      <c r="FX11" s="14"/>
      <c r="FZ11" s="14"/>
      <c r="GA11" s="14"/>
      <c r="GC11" s="14"/>
      <c r="GD11" s="14"/>
      <c r="GE11" s="14"/>
      <c r="GG11" s="14"/>
      <c r="GH11" s="14"/>
      <c r="GJ11" s="14"/>
      <c r="GK11" s="14"/>
      <c r="GM11" s="14"/>
      <c r="GN11" s="14"/>
      <c r="GP11" s="14"/>
      <c r="GQ11" s="14"/>
      <c r="GT11" s="13"/>
      <c r="GU11" s="14"/>
      <c r="GW11" s="13"/>
      <c r="GX11" s="14"/>
      <c r="GZ11" s="13"/>
      <c r="HA11" s="14"/>
      <c r="HB11" s="13"/>
      <c r="HD11" s="13"/>
      <c r="HE11" s="14"/>
      <c r="HF11" s="13"/>
      <c r="HH11" s="13"/>
      <c r="HI11" s="14"/>
      <c r="HJ11" s="13"/>
    </row>
    <row r="12" spans="1:220" ht="15.75" customHeight="1" x14ac:dyDescent="0.15">
      <c r="A12" s="3">
        <v>0</v>
      </c>
      <c r="B12" s="3">
        <v>0</v>
      </c>
      <c r="C12" s="34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N12" s="52" t="s">
        <v>146</v>
      </c>
      <c r="O12" s="51">
        <f>COUNTIF(E:E,21)</f>
        <v>0</v>
      </c>
      <c r="P12" s="53" t="s">
        <v>147</v>
      </c>
      <c r="Q12" s="54">
        <f>COUNTIF(D:D,11)</f>
        <v>0</v>
      </c>
      <c r="R12" s="53" t="s">
        <v>148</v>
      </c>
      <c r="S12" s="54">
        <f>COUNTIF(D:D,61)</f>
        <v>0</v>
      </c>
      <c r="T12" s="59" t="s">
        <v>149</v>
      </c>
      <c r="U12" s="59" t="s">
        <v>150</v>
      </c>
      <c r="V12" s="60">
        <f>COUNTIF(F:F,"=220")</f>
        <v>1</v>
      </c>
      <c r="X12" s="56" t="s">
        <v>151</v>
      </c>
      <c r="Y12" s="57">
        <f>SUM(V74:V79)</f>
        <v>2</v>
      </c>
      <c r="AD12" s="14"/>
      <c r="AE12" s="53" t="s">
        <v>30</v>
      </c>
      <c r="AF12" s="54">
        <f>SUMPRODUCT((MONTH(veri!E3:E497)=11)*(veri!E3:E497&lt;&gt;""))</f>
        <v>1</v>
      </c>
      <c r="AG12" s="14"/>
      <c r="AH12" s="14"/>
      <c r="AI12" s="14"/>
      <c r="AJ12" s="14"/>
      <c r="AK12" s="53" t="s">
        <v>152</v>
      </c>
      <c r="AL12" s="54">
        <f>COUNTIFS(veri!F:F,"&gt;="&amp;20,veri!F:F,"&lt;"&amp;22)</f>
        <v>0</v>
      </c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3"/>
      <c r="AY12" s="58"/>
      <c r="AZ12" s="14"/>
      <c r="BA12" s="13"/>
      <c r="BB12" s="13"/>
      <c r="BC12" s="58"/>
      <c r="BD12" s="14"/>
      <c r="BE12" s="13"/>
      <c r="BF12" s="13"/>
      <c r="BG12" s="14"/>
      <c r="BH12" s="13"/>
      <c r="BI12" s="13"/>
      <c r="BJ12" s="58"/>
      <c r="BK12" s="14"/>
      <c r="BL12" s="13"/>
      <c r="BM12" s="13"/>
      <c r="BN12" s="58"/>
      <c r="BO12" s="14"/>
      <c r="BP12" s="13"/>
      <c r="BQ12" s="13"/>
      <c r="BR12" s="58"/>
      <c r="BS12" s="14"/>
      <c r="BT12" s="13"/>
      <c r="BU12" s="13"/>
      <c r="BV12" s="58"/>
      <c r="BW12" s="14"/>
      <c r="BX12" s="13"/>
      <c r="BY12" s="13"/>
      <c r="BZ12" s="58"/>
      <c r="CA12" s="14"/>
      <c r="CB12" s="13"/>
      <c r="CC12" s="13"/>
      <c r="CF12" s="58"/>
      <c r="CG12" s="58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Q12" s="13"/>
      <c r="DR12" s="13"/>
      <c r="DS12" s="14"/>
      <c r="DT12" s="13"/>
      <c r="DU12" s="13"/>
      <c r="DV12" s="14"/>
      <c r="DW12" s="13"/>
      <c r="DX12" s="13"/>
      <c r="DY12" s="58"/>
      <c r="DZ12" s="14"/>
      <c r="EA12" s="13"/>
      <c r="EB12" s="13"/>
      <c r="EC12" s="58"/>
      <c r="ED12" s="14"/>
      <c r="EE12" s="13"/>
      <c r="EF12" s="13"/>
      <c r="EG12" s="58"/>
      <c r="EH12" s="14"/>
      <c r="EI12" s="13"/>
      <c r="EJ12" s="58"/>
      <c r="EK12" s="14"/>
      <c r="EL12" s="13"/>
      <c r="EM12" s="13"/>
      <c r="EN12" s="58"/>
      <c r="EO12" s="14"/>
      <c r="EP12" s="13"/>
      <c r="EQ12" s="13"/>
      <c r="ER12" s="58"/>
      <c r="ES12" s="14"/>
      <c r="ET12" s="13"/>
      <c r="EU12" s="13"/>
      <c r="EV12" s="58"/>
      <c r="EW12" s="14"/>
      <c r="EX12" s="13"/>
      <c r="EY12" s="13"/>
      <c r="EZ12" s="58"/>
      <c r="FA12" s="14"/>
      <c r="FB12" s="13"/>
      <c r="FC12" s="13"/>
      <c r="FD12" s="58"/>
      <c r="FE12" s="14"/>
      <c r="FF12" s="13"/>
      <c r="FG12" s="13"/>
      <c r="FH12" s="58"/>
      <c r="FI12" s="14"/>
      <c r="FJ12" s="13"/>
      <c r="FK12" s="13"/>
      <c r="FL12" s="58"/>
      <c r="FM12" s="14"/>
      <c r="FN12" s="13"/>
      <c r="FO12" s="13"/>
      <c r="FP12" s="58"/>
      <c r="FQ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T12" s="13"/>
      <c r="GU12" s="13"/>
      <c r="GV12" s="14"/>
      <c r="GW12" s="13"/>
      <c r="GX12" s="13"/>
      <c r="GY12" s="14"/>
      <c r="GZ12" s="13"/>
      <c r="HA12" s="13"/>
      <c r="HB12" s="58"/>
      <c r="HC12" s="14"/>
      <c r="HD12" s="13"/>
      <c r="HE12" s="13"/>
      <c r="HF12" s="58"/>
      <c r="HG12" s="14"/>
      <c r="HH12" s="13"/>
      <c r="HI12" s="13"/>
      <c r="HJ12" s="58"/>
      <c r="HK12" s="14"/>
    </row>
    <row r="13" spans="1:220" ht="15.75" customHeight="1" x14ac:dyDescent="0.15">
      <c r="A13" s="3">
        <v>0</v>
      </c>
      <c r="B13" s="3">
        <v>0</v>
      </c>
      <c r="C13" s="34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N13" s="52" t="s">
        <v>153</v>
      </c>
      <c r="O13" s="51">
        <f>COUNTIF(E:E,22)</f>
        <v>0</v>
      </c>
      <c r="P13" s="53" t="s">
        <v>154</v>
      </c>
      <c r="Q13" s="54">
        <f>COUNTIF(D:D,12)</f>
        <v>0</v>
      </c>
      <c r="R13" s="53" t="s">
        <v>155</v>
      </c>
      <c r="S13" s="54">
        <f>COUNTIF(D:D,62)</f>
        <v>0</v>
      </c>
      <c r="T13" s="59" t="s">
        <v>156</v>
      </c>
      <c r="U13" s="59" t="s">
        <v>157</v>
      </c>
      <c r="V13" s="60">
        <f>COUNTIF(F:F,"=230")</f>
        <v>0</v>
      </c>
      <c r="X13" s="56" t="s">
        <v>158</v>
      </c>
      <c r="Y13" s="57">
        <f>SUM(V81:V84)</f>
        <v>0</v>
      </c>
      <c r="AD13" s="14"/>
      <c r="AE13" s="53" t="s">
        <v>31</v>
      </c>
      <c r="AF13" s="54">
        <f>SUMPRODUCT((MONTH(veri!E3:E497)=12)*(veri!E3:E497&lt;&gt;""))</f>
        <v>1</v>
      </c>
      <c r="AG13" s="14"/>
      <c r="AH13" s="14"/>
      <c r="AI13" s="14"/>
      <c r="AJ13" s="14"/>
      <c r="AK13" s="53" t="s">
        <v>159</v>
      </c>
      <c r="AL13" s="54">
        <f>COUNTIFS(veri!F:F,"&gt;="&amp;22,veri!F:F,"&lt;"&amp;24)</f>
        <v>0</v>
      </c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3"/>
      <c r="BA13" s="13"/>
      <c r="BB13" s="14"/>
      <c r="BC13" s="13"/>
      <c r="BE13" s="13"/>
      <c r="BF13" s="14"/>
      <c r="BH13" s="13"/>
      <c r="BI13" s="14"/>
      <c r="BJ13" s="13"/>
      <c r="BL13" s="13"/>
      <c r="BM13" s="14"/>
      <c r="BN13" s="13"/>
      <c r="BP13" s="13"/>
      <c r="BQ13" s="14"/>
      <c r="BR13" s="13"/>
      <c r="BT13" s="13"/>
      <c r="BU13" s="14"/>
      <c r="BV13" s="13"/>
      <c r="BX13" s="13"/>
      <c r="BY13" s="14"/>
      <c r="BZ13" s="13"/>
      <c r="CB13" s="13"/>
      <c r="CC13" s="14"/>
      <c r="CF13" s="14"/>
      <c r="CG13" s="14"/>
      <c r="CH13" s="14"/>
      <c r="CI13" s="14"/>
      <c r="CJ13" s="49"/>
      <c r="CK13" s="50"/>
      <c r="CL13" s="14"/>
      <c r="CM13" s="49"/>
      <c r="CN13" s="50"/>
      <c r="CO13" s="14"/>
      <c r="CP13" s="49"/>
      <c r="CQ13" s="50"/>
      <c r="CR13" s="14"/>
      <c r="CS13" s="49"/>
      <c r="CT13" s="50"/>
      <c r="CU13" s="14"/>
      <c r="CV13" s="49"/>
      <c r="CW13" s="50"/>
      <c r="CX13" s="14"/>
      <c r="CY13" s="49"/>
      <c r="CZ13" s="50"/>
      <c r="DA13" s="14"/>
      <c r="DB13" s="49"/>
      <c r="DC13" s="50"/>
      <c r="DD13" s="14"/>
      <c r="DE13" s="49"/>
      <c r="DF13" s="50"/>
      <c r="DG13" s="14"/>
      <c r="DH13" s="49"/>
      <c r="DI13" s="50"/>
      <c r="DJ13" s="14"/>
      <c r="DK13" s="49"/>
      <c r="DL13" s="50"/>
      <c r="DM13" s="14"/>
      <c r="DN13" s="49"/>
      <c r="DO13" s="50"/>
      <c r="DQ13" s="13"/>
      <c r="DR13" s="14"/>
      <c r="DT13" s="13"/>
      <c r="DU13" s="14"/>
      <c r="DW13" s="13"/>
      <c r="DX13" s="14"/>
      <c r="DY13" s="13"/>
      <c r="EA13" s="13"/>
      <c r="EB13" s="14"/>
      <c r="EC13" s="13"/>
      <c r="EE13" s="13"/>
      <c r="EF13" s="14"/>
      <c r="EG13" s="13"/>
      <c r="EI13" s="13"/>
      <c r="EJ13" s="13"/>
      <c r="EL13" s="13"/>
      <c r="EM13" s="14"/>
      <c r="EN13" s="13"/>
      <c r="EP13" s="13"/>
      <c r="EQ13" s="14"/>
      <c r="ER13" s="13"/>
      <c r="ET13" s="13"/>
      <c r="EU13" s="14"/>
      <c r="EV13" s="13"/>
      <c r="EX13" s="13"/>
      <c r="EY13" s="14"/>
      <c r="EZ13" s="13"/>
      <c r="FB13" s="13"/>
      <c r="FC13" s="14"/>
      <c r="FD13" s="13"/>
      <c r="FF13" s="13"/>
      <c r="FG13" s="14"/>
      <c r="FH13" s="13"/>
      <c r="FJ13" s="13"/>
      <c r="FK13" s="14"/>
      <c r="FL13" s="13"/>
      <c r="FN13" s="13"/>
      <c r="FO13" s="14"/>
      <c r="FP13" s="13"/>
      <c r="FZ13" s="14"/>
      <c r="GA13" s="14"/>
      <c r="GC13" s="14"/>
      <c r="GD13" s="14"/>
      <c r="GE13" s="14"/>
      <c r="GG13" s="14"/>
      <c r="GH13" s="14"/>
      <c r="GJ13" s="14"/>
      <c r="GK13" s="14"/>
      <c r="GM13" s="14"/>
      <c r="GN13" s="14"/>
      <c r="GP13" s="14"/>
      <c r="GQ13" s="14"/>
      <c r="GT13" s="13"/>
      <c r="GU13" s="14"/>
      <c r="GW13" s="13"/>
      <c r="GX13" s="14"/>
      <c r="GZ13" s="13"/>
      <c r="HA13" s="14"/>
      <c r="HB13" s="13"/>
      <c r="HD13" s="13"/>
      <c r="HE13" s="14"/>
      <c r="HF13" s="13"/>
      <c r="HH13" s="13"/>
      <c r="HI13" s="14"/>
      <c r="HJ13" s="13"/>
    </row>
    <row r="14" spans="1:220" ht="15.75" customHeight="1" x14ac:dyDescent="0.15">
      <c r="A14" s="3">
        <v>0</v>
      </c>
      <c r="B14" s="3">
        <v>0</v>
      </c>
      <c r="C14" s="34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N14" s="52" t="s">
        <v>160</v>
      </c>
      <c r="O14" s="51">
        <f>COUNTIF(E:E,31)</f>
        <v>0</v>
      </c>
      <c r="P14" s="53" t="s">
        <v>161</v>
      </c>
      <c r="Q14" s="54">
        <f>COUNTIF(D:D,13)</f>
        <v>0</v>
      </c>
      <c r="R14" s="53" t="s">
        <v>162</v>
      </c>
      <c r="S14" s="54">
        <f>COUNTIF(D:D,63)</f>
        <v>1</v>
      </c>
      <c r="T14" s="59" t="s">
        <v>163</v>
      </c>
      <c r="U14" s="59" t="s">
        <v>164</v>
      </c>
      <c r="V14" s="60">
        <f>COUNTIF(F:F,"=240")</f>
        <v>0</v>
      </c>
      <c r="X14" s="56" t="s">
        <v>165</v>
      </c>
      <c r="Y14" s="57">
        <f>SUM(V86:V90)</f>
        <v>0</v>
      </c>
      <c r="AD14" s="14"/>
      <c r="AE14" s="61" t="s">
        <v>113</v>
      </c>
      <c r="AF14" s="61">
        <f>SUM(AF2:AF13)</f>
        <v>8</v>
      </c>
      <c r="AG14" s="14"/>
      <c r="AH14" s="14"/>
      <c r="AI14" s="14"/>
      <c r="AJ14" s="14"/>
      <c r="AK14" s="61" t="s">
        <v>113</v>
      </c>
      <c r="AL14" s="61">
        <f>SUM(AL2:AL13)</f>
        <v>9</v>
      </c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3"/>
      <c r="AY14" s="58"/>
      <c r="AZ14" s="14"/>
      <c r="BA14" s="13"/>
      <c r="BB14" s="13"/>
      <c r="BC14" s="58"/>
      <c r="BD14" s="14"/>
      <c r="BE14" s="13"/>
      <c r="BF14" s="13"/>
      <c r="BG14" s="14"/>
      <c r="BH14" s="13"/>
      <c r="BI14" s="13"/>
      <c r="BJ14" s="58"/>
      <c r="BK14" s="14"/>
      <c r="BL14" s="13"/>
      <c r="BM14" s="13"/>
      <c r="BN14" s="58"/>
      <c r="BO14" s="14"/>
      <c r="BP14" s="13"/>
      <c r="BQ14" s="13"/>
      <c r="BR14" s="58"/>
      <c r="BS14" s="14"/>
      <c r="BT14" s="13"/>
      <c r="BU14" s="13"/>
      <c r="BV14" s="58"/>
      <c r="BW14" s="14"/>
      <c r="BX14" s="13"/>
      <c r="BY14" s="13"/>
      <c r="BZ14" s="58"/>
      <c r="CA14" s="14"/>
      <c r="CB14" s="13"/>
      <c r="CC14" s="13"/>
      <c r="CF14" s="58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Q14" s="13"/>
      <c r="DR14" s="13"/>
      <c r="DS14" s="14"/>
      <c r="DT14" s="13"/>
      <c r="DU14" s="13"/>
      <c r="DV14" s="14"/>
      <c r="DW14" s="13"/>
      <c r="DX14" s="13"/>
      <c r="DY14" s="58"/>
      <c r="DZ14" s="14"/>
      <c r="EA14" s="13"/>
      <c r="EB14" s="13"/>
      <c r="EC14" s="58"/>
      <c r="ED14" s="14"/>
      <c r="EE14" s="13"/>
      <c r="EF14" s="13"/>
      <c r="EG14" s="58"/>
      <c r="EH14" s="14"/>
      <c r="EI14" s="13"/>
      <c r="EJ14" s="58"/>
      <c r="EK14" s="14"/>
      <c r="EL14" s="13"/>
      <c r="EM14" s="13"/>
      <c r="EN14" s="58"/>
      <c r="EO14" s="14"/>
      <c r="EP14" s="13"/>
      <c r="EQ14" s="13"/>
      <c r="ER14" s="58"/>
      <c r="ES14" s="14"/>
      <c r="ET14" s="13"/>
      <c r="EU14" s="13"/>
      <c r="EV14" s="58"/>
      <c r="EW14" s="14"/>
      <c r="EX14" s="13"/>
      <c r="EY14" s="13"/>
      <c r="EZ14" s="58"/>
      <c r="FA14" s="14"/>
      <c r="FB14" s="13"/>
      <c r="FC14" s="13"/>
      <c r="FD14" s="58"/>
      <c r="FE14" s="14"/>
      <c r="FF14" s="13"/>
      <c r="FG14" s="13"/>
      <c r="FH14" s="58"/>
      <c r="FI14" s="14"/>
      <c r="FJ14" s="13"/>
      <c r="FK14" s="13"/>
      <c r="FL14" s="58"/>
      <c r="FM14" s="14"/>
      <c r="FN14" s="13"/>
      <c r="FO14" s="13"/>
      <c r="FP14" s="58"/>
      <c r="FQ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T14" s="13"/>
      <c r="GU14" s="13"/>
      <c r="GV14" s="14"/>
      <c r="GW14" s="13"/>
      <c r="GX14" s="13"/>
      <c r="GY14" s="14"/>
      <c r="GZ14" s="13"/>
      <c r="HA14" s="13"/>
      <c r="HB14" s="58"/>
      <c r="HC14" s="14"/>
      <c r="HD14" s="13"/>
      <c r="HE14" s="13"/>
      <c r="HF14" s="58"/>
      <c r="HG14" s="14"/>
      <c r="HH14" s="13"/>
      <c r="HI14" s="13"/>
      <c r="HJ14" s="58"/>
      <c r="HK14" s="14"/>
    </row>
    <row r="15" spans="1:220" ht="15.75" customHeight="1" x14ac:dyDescent="0.15">
      <c r="A15" s="3">
        <v>0</v>
      </c>
      <c r="B15" s="3">
        <v>0</v>
      </c>
      <c r="C15" s="34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N15" s="52" t="s">
        <v>166</v>
      </c>
      <c r="O15" s="51">
        <f>COUNTIF(E:E,32)</f>
        <v>3</v>
      </c>
      <c r="P15" s="53" t="s">
        <v>167</v>
      </c>
      <c r="Q15" s="54">
        <f>COUNTIF(D:D,14)</f>
        <v>0</v>
      </c>
      <c r="R15" s="53" t="s">
        <v>168</v>
      </c>
      <c r="S15" s="54">
        <f>COUNTIF(D:D,64)</f>
        <v>0</v>
      </c>
      <c r="T15" s="62" t="s">
        <v>169</v>
      </c>
      <c r="U15" s="62" t="s">
        <v>170</v>
      </c>
      <c r="V15" s="60">
        <f>COUNTIF(F:F,"=250")</f>
        <v>0</v>
      </c>
      <c r="X15" s="56" t="s">
        <v>171</v>
      </c>
      <c r="Y15" s="57">
        <f>SUM(V92:V95)</f>
        <v>0</v>
      </c>
      <c r="AD15" s="14"/>
      <c r="AE15" s="49"/>
      <c r="AF15" s="50"/>
      <c r="AG15" s="14"/>
      <c r="AH15" s="49"/>
      <c r="AI15" s="14"/>
      <c r="AJ15" s="14"/>
      <c r="AL15" s="63"/>
      <c r="AM15" s="13"/>
      <c r="AN15" s="14"/>
      <c r="AP15" s="13"/>
      <c r="AQ15" s="14"/>
      <c r="AS15" s="13"/>
      <c r="AT15" s="14"/>
      <c r="AU15" s="13"/>
      <c r="AW15" s="13"/>
      <c r="AX15" s="14"/>
      <c r="AY15" s="13"/>
      <c r="BA15" s="13"/>
      <c r="BB15" s="14"/>
      <c r="BC15" s="13"/>
      <c r="BE15" s="13"/>
      <c r="BF15" s="14"/>
      <c r="BH15" s="13"/>
      <c r="BI15" s="14"/>
      <c r="BJ15" s="13"/>
      <c r="BL15" s="13"/>
      <c r="BM15" s="14"/>
      <c r="BN15" s="13"/>
      <c r="BP15" s="13"/>
      <c r="BQ15" s="14"/>
      <c r="BR15" s="13"/>
      <c r="BT15" s="13"/>
      <c r="BU15" s="14"/>
      <c r="BV15" s="13"/>
      <c r="BX15" s="13"/>
      <c r="BY15" s="14"/>
      <c r="BZ15" s="13"/>
      <c r="CB15" s="13"/>
      <c r="CC15" s="14"/>
      <c r="CF15" s="14"/>
      <c r="CG15" s="14"/>
      <c r="CH15" s="14"/>
      <c r="CI15" s="14"/>
      <c r="CJ15" s="49"/>
      <c r="CK15" s="50"/>
      <c r="CL15" s="14"/>
      <c r="CM15" s="49"/>
      <c r="CN15" s="50"/>
      <c r="CO15" s="14"/>
      <c r="CP15" s="49"/>
      <c r="CQ15" s="50"/>
      <c r="CR15" s="14"/>
      <c r="CS15" s="49"/>
      <c r="CT15" s="50"/>
      <c r="CU15" s="14"/>
      <c r="CV15" s="49"/>
      <c r="CW15" s="50"/>
      <c r="CX15" s="14"/>
      <c r="CY15" s="49"/>
      <c r="CZ15" s="50"/>
      <c r="DA15" s="14"/>
      <c r="DB15" s="49"/>
      <c r="DC15" s="50"/>
      <c r="DD15" s="14"/>
      <c r="DE15" s="49"/>
      <c r="DF15" s="50"/>
      <c r="DG15" s="14"/>
      <c r="DH15" s="49"/>
      <c r="DI15" s="50"/>
      <c r="DJ15" s="14"/>
      <c r="DK15" s="49"/>
      <c r="DL15" s="50"/>
      <c r="DM15" s="14"/>
      <c r="DN15" s="49"/>
      <c r="DO15" s="50"/>
      <c r="DQ15" s="13"/>
      <c r="DR15" s="14"/>
      <c r="DT15" s="13"/>
      <c r="DU15" s="14"/>
      <c r="DW15" s="13"/>
      <c r="DX15" s="14"/>
      <c r="DY15" s="13"/>
      <c r="EA15" s="13"/>
      <c r="EB15" s="14"/>
      <c r="EC15" s="13"/>
      <c r="EE15" s="13"/>
      <c r="EF15" s="14"/>
      <c r="EG15" s="13"/>
      <c r="EI15" s="13"/>
      <c r="EJ15" s="13"/>
      <c r="EL15" s="13"/>
      <c r="EM15" s="14"/>
      <c r="EN15" s="13"/>
      <c r="EP15" s="13"/>
      <c r="EQ15" s="14"/>
      <c r="ER15" s="13"/>
      <c r="ET15" s="13"/>
      <c r="EU15" s="14"/>
      <c r="EV15" s="13"/>
      <c r="EX15" s="13"/>
      <c r="EY15" s="14"/>
      <c r="EZ15" s="13"/>
      <c r="FB15" s="13"/>
      <c r="FC15" s="14"/>
      <c r="FD15" s="13"/>
      <c r="FF15" s="13"/>
      <c r="FG15" s="14"/>
      <c r="FH15" s="13"/>
      <c r="FJ15" s="13"/>
      <c r="FK15" s="14"/>
      <c r="FL15" s="13"/>
      <c r="FN15" s="13"/>
      <c r="FO15" s="14"/>
      <c r="FP15" s="13"/>
      <c r="FV15" s="14"/>
      <c r="FW15" s="14"/>
      <c r="FX15" s="64"/>
      <c r="FZ15" s="14"/>
      <c r="GA15" s="14"/>
      <c r="GC15" s="14"/>
      <c r="GD15" s="14"/>
      <c r="GE15" s="14"/>
      <c r="GG15" s="14"/>
      <c r="GH15" s="14"/>
      <c r="GJ15" s="14"/>
      <c r="GK15" s="14"/>
      <c r="GM15" s="14"/>
      <c r="GN15" s="14"/>
      <c r="GP15" s="14"/>
      <c r="GQ15" s="14"/>
      <c r="GT15" s="13"/>
      <c r="GU15" s="14"/>
      <c r="GW15" s="13"/>
      <c r="GX15" s="14"/>
      <c r="GZ15" s="13"/>
      <c r="HA15" s="14"/>
      <c r="HB15" s="13"/>
      <c r="HD15" s="13"/>
      <c r="HE15" s="14"/>
      <c r="HF15" s="13"/>
      <c r="HH15" s="13"/>
      <c r="HI15" s="14"/>
      <c r="HJ15" s="13"/>
    </row>
    <row r="16" spans="1:220" ht="15.75" customHeight="1" x14ac:dyDescent="0.15">
      <c r="A16" s="3">
        <v>0</v>
      </c>
      <c r="B16" s="3">
        <v>0</v>
      </c>
      <c r="C16" s="34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N16" s="52" t="s">
        <v>172</v>
      </c>
      <c r="O16" s="51">
        <f>COUNTIF(E:E,33)</f>
        <v>3</v>
      </c>
      <c r="P16" s="53" t="s">
        <v>173</v>
      </c>
      <c r="Q16" s="54">
        <f>COUNTIF(D:D,15)</f>
        <v>0</v>
      </c>
      <c r="R16" s="53" t="s">
        <v>174</v>
      </c>
      <c r="S16" s="54">
        <f>COUNTIF(D:D,65)</f>
        <v>0</v>
      </c>
      <c r="T16" s="62" t="s">
        <v>175</v>
      </c>
      <c r="U16" s="62" t="s">
        <v>176</v>
      </c>
      <c r="V16" s="60">
        <f>COUNTIF(F:F,"=260")</f>
        <v>0</v>
      </c>
      <c r="X16" s="56" t="s">
        <v>177</v>
      </c>
      <c r="Y16" s="57">
        <f>SUM(V97:V100)</f>
        <v>0</v>
      </c>
      <c r="AD16" s="14"/>
      <c r="AE16" s="14"/>
      <c r="AF16" s="14"/>
      <c r="AG16" s="14"/>
      <c r="AH16" s="14"/>
      <c r="AI16" s="65"/>
      <c r="AJ16" s="14"/>
      <c r="AK16" s="30"/>
      <c r="AL16" s="30"/>
      <c r="AM16" s="13"/>
      <c r="AN16" s="13"/>
      <c r="AO16" s="14"/>
      <c r="AP16" s="13"/>
      <c r="AQ16" s="13"/>
      <c r="AR16" s="14"/>
      <c r="AS16" s="13"/>
      <c r="AT16" s="13"/>
      <c r="AU16" s="58"/>
      <c r="AV16" s="14"/>
      <c r="AW16" s="13"/>
      <c r="AX16" s="13"/>
      <c r="AY16" s="58"/>
      <c r="AZ16" s="14"/>
      <c r="BA16" s="13"/>
      <c r="BB16" s="13"/>
      <c r="BC16" s="58"/>
      <c r="BD16" s="14"/>
      <c r="BE16" s="13"/>
      <c r="BF16" s="13"/>
      <c r="BG16" s="14"/>
      <c r="BH16" s="13"/>
      <c r="BI16" s="13"/>
      <c r="BJ16" s="58"/>
      <c r="BK16" s="14"/>
      <c r="BL16" s="13"/>
      <c r="BM16" s="13"/>
      <c r="BN16" s="58"/>
      <c r="BO16" s="14"/>
      <c r="BP16" s="13"/>
      <c r="BQ16" s="13"/>
      <c r="BR16" s="58"/>
      <c r="BS16" s="14"/>
      <c r="BT16" s="13"/>
      <c r="BU16" s="13"/>
      <c r="BV16" s="58"/>
      <c r="BW16" s="14"/>
      <c r="BX16" s="13"/>
      <c r="BY16" s="13"/>
      <c r="BZ16" s="58"/>
      <c r="CA16" s="14"/>
      <c r="CB16" s="13"/>
      <c r="CC16" s="13"/>
      <c r="CF16" s="58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Q16" s="13"/>
      <c r="DR16" s="13"/>
      <c r="DS16" s="14"/>
      <c r="DT16" s="13"/>
      <c r="DU16" s="13"/>
      <c r="DV16" s="14"/>
      <c r="DW16" s="13"/>
      <c r="DX16" s="13"/>
      <c r="DY16" s="58"/>
      <c r="DZ16" s="14"/>
      <c r="EA16" s="13"/>
      <c r="EB16" s="13"/>
      <c r="EC16" s="58"/>
      <c r="ED16" s="14"/>
      <c r="EE16" s="13"/>
      <c r="EF16" s="13"/>
      <c r="EG16" s="58"/>
      <c r="EH16" s="14"/>
      <c r="EI16" s="13"/>
      <c r="EJ16" s="58"/>
      <c r="EK16" s="14"/>
      <c r="EL16" s="13"/>
      <c r="EM16" s="13"/>
      <c r="EN16" s="58"/>
      <c r="EO16" s="14"/>
      <c r="EP16" s="13"/>
      <c r="EQ16" s="13"/>
      <c r="ER16" s="58"/>
      <c r="ES16" s="14"/>
      <c r="ET16" s="13"/>
      <c r="EU16" s="13"/>
      <c r="EV16" s="58"/>
      <c r="EW16" s="14"/>
      <c r="EX16" s="13"/>
      <c r="EY16" s="13"/>
      <c r="EZ16" s="58"/>
      <c r="FA16" s="14"/>
      <c r="FB16" s="13"/>
      <c r="FC16" s="13"/>
      <c r="FD16" s="58"/>
      <c r="FE16" s="14"/>
      <c r="FF16" s="13"/>
      <c r="FG16" s="13"/>
      <c r="FH16" s="58"/>
      <c r="FI16" s="14"/>
      <c r="FJ16" s="13"/>
      <c r="FK16" s="13"/>
      <c r="FL16" s="58"/>
      <c r="FM16" s="14"/>
      <c r="FN16" s="13"/>
      <c r="FO16" s="13"/>
      <c r="FP16" s="58"/>
      <c r="FQ16" s="14"/>
      <c r="FV16" s="14"/>
      <c r="FW16" s="58"/>
      <c r="FX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66"/>
      <c r="GT16" s="13"/>
      <c r="GU16" s="13"/>
      <c r="GV16" s="14"/>
      <c r="GW16" s="13"/>
      <c r="GX16" s="13"/>
      <c r="GY16" s="14"/>
      <c r="GZ16" s="13"/>
      <c r="HA16" s="13"/>
      <c r="HB16" s="58"/>
      <c r="HC16" s="14"/>
      <c r="HD16" s="13"/>
      <c r="HE16" s="13"/>
      <c r="HF16" s="58"/>
      <c r="HG16" s="14"/>
      <c r="HH16" s="13"/>
      <c r="HI16" s="13"/>
      <c r="HJ16" s="58"/>
      <c r="HK16" s="14"/>
      <c r="HL16" s="66"/>
    </row>
    <row r="17" spans="1:220" ht="15.75" customHeight="1" x14ac:dyDescent="0.15">
      <c r="A17" s="3">
        <v>0</v>
      </c>
      <c r="B17" s="3">
        <v>0</v>
      </c>
      <c r="C17" s="34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N17" s="52" t="s">
        <v>178</v>
      </c>
      <c r="O17" s="51">
        <f>COUNTIF(E:E,34)</f>
        <v>0</v>
      </c>
      <c r="P17" s="53" t="s">
        <v>179</v>
      </c>
      <c r="Q17" s="54">
        <f>COUNTIF(D:D,16)</f>
        <v>0</v>
      </c>
      <c r="R17" s="53" t="s">
        <v>180</v>
      </c>
      <c r="S17" s="54">
        <f>COUNTIF(D:D,66)</f>
        <v>0</v>
      </c>
      <c r="T17" s="59" t="s">
        <v>181</v>
      </c>
      <c r="U17" s="59" t="s">
        <v>182</v>
      </c>
      <c r="V17" s="60">
        <f>COUNTIF(F:F,"=270")</f>
        <v>0</v>
      </c>
      <c r="X17" s="56" t="s">
        <v>183</v>
      </c>
      <c r="Y17" s="57">
        <f>SUM(V102:V105)</f>
        <v>0</v>
      </c>
      <c r="AD17" s="14"/>
      <c r="AE17" s="49"/>
      <c r="AF17" s="50"/>
      <c r="AG17" s="14"/>
      <c r="AH17" s="49"/>
      <c r="AI17" s="14"/>
      <c r="AJ17" s="14"/>
      <c r="AL17" s="63"/>
      <c r="AM17" s="13"/>
      <c r="AN17" s="14"/>
      <c r="AP17" s="13"/>
      <c r="AQ17" s="14"/>
      <c r="AS17" s="13"/>
      <c r="AT17" s="14"/>
      <c r="AU17" s="13"/>
      <c r="AW17" s="13"/>
      <c r="AX17" s="14"/>
      <c r="AY17" s="13"/>
      <c r="BA17" s="13"/>
      <c r="BB17" s="14"/>
      <c r="BC17" s="13"/>
      <c r="BE17" s="13"/>
      <c r="BF17" s="14"/>
      <c r="BH17" s="13"/>
      <c r="BI17" s="14"/>
      <c r="BJ17" s="13"/>
      <c r="BL17" s="13"/>
      <c r="BM17" s="14"/>
      <c r="BN17" s="13"/>
      <c r="BP17" s="13"/>
      <c r="BQ17" s="14"/>
      <c r="BR17" s="13"/>
      <c r="BT17" s="13"/>
      <c r="BU17" s="14"/>
      <c r="BV17" s="13"/>
      <c r="BX17" s="13"/>
      <c r="BY17" s="14"/>
      <c r="BZ17" s="13"/>
      <c r="CB17" s="13"/>
      <c r="CC17" s="14"/>
      <c r="CF17" s="14"/>
      <c r="CG17" s="14"/>
      <c r="CH17" s="14"/>
      <c r="CI17" s="14"/>
      <c r="CJ17" s="49"/>
      <c r="CK17" s="50"/>
      <c r="CL17" s="14"/>
      <c r="CM17" s="49"/>
      <c r="CN17" s="50"/>
      <c r="CO17" s="14"/>
      <c r="CP17" s="49"/>
      <c r="CQ17" s="50"/>
      <c r="CR17" s="14"/>
      <c r="CS17" s="49"/>
      <c r="CT17" s="50"/>
      <c r="CU17" s="14"/>
      <c r="CV17" s="49"/>
      <c r="CW17" s="50"/>
      <c r="CX17" s="14"/>
      <c r="CY17" s="49"/>
      <c r="CZ17" s="50"/>
      <c r="DA17" s="14"/>
      <c r="DB17" s="49"/>
      <c r="DC17" s="50"/>
      <c r="DD17" s="14"/>
      <c r="DE17" s="49"/>
      <c r="DF17" s="50"/>
      <c r="DG17" s="14"/>
      <c r="DH17" s="49"/>
      <c r="DI17" s="50"/>
      <c r="DJ17" s="14"/>
      <c r="DK17" s="49"/>
      <c r="DL17" s="50"/>
      <c r="DM17" s="14"/>
      <c r="DN17" s="49"/>
      <c r="DO17" s="50"/>
      <c r="DQ17" s="13"/>
      <c r="DR17" s="14"/>
      <c r="DT17" s="13"/>
      <c r="DU17" s="14"/>
      <c r="DW17" s="13"/>
      <c r="DX17" s="14"/>
      <c r="DY17" s="13"/>
      <c r="EA17" s="13"/>
      <c r="EB17" s="14"/>
      <c r="EC17" s="13"/>
      <c r="EE17" s="13"/>
      <c r="EF17" s="14"/>
      <c r="EG17" s="13"/>
      <c r="EI17" s="13"/>
      <c r="EJ17" s="13"/>
      <c r="EL17" s="13"/>
      <c r="EM17" s="14"/>
      <c r="EN17" s="13"/>
      <c r="EP17" s="13"/>
      <c r="EQ17" s="14"/>
      <c r="ER17" s="13"/>
      <c r="ET17" s="13"/>
      <c r="EU17" s="14"/>
      <c r="EV17" s="13"/>
      <c r="EX17" s="13"/>
      <c r="EY17" s="14"/>
      <c r="EZ17" s="13"/>
      <c r="FB17" s="13"/>
      <c r="FC17" s="14"/>
      <c r="FD17" s="13"/>
      <c r="FF17" s="13"/>
      <c r="FG17" s="14"/>
      <c r="FH17" s="13"/>
      <c r="FJ17" s="13"/>
      <c r="FK17" s="14"/>
      <c r="FL17" s="13"/>
      <c r="FN17" s="13"/>
      <c r="FO17" s="14"/>
      <c r="FP17" s="13"/>
      <c r="FV17" s="14"/>
      <c r="FW17" s="14"/>
      <c r="FX17" s="64"/>
      <c r="FZ17" s="14"/>
      <c r="GA17" s="14"/>
      <c r="GD17" s="14"/>
      <c r="GE17" s="14"/>
      <c r="GG17" s="14"/>
      <c r="GH17" s="14"/>
      <c r="GJ17" s="14"/>
      <c r="GK17" s="14"/>
      <c r="GM17" s="14"/>
      <c r="GN17" s="14"/>
      <c r="GP17" s="14"/>
      <c r="GQ17" s="14"/>
      <c r="GT17" s="13"/>
      <c r="GU17" s="14"/>
      <c r="HD17" s="13"/>
      <c r="HE17" s="14"/>
      <c r="HF17" s="13"/>
      <c r="HH17" s="13"/>
      <c r="HI17" s="14"/>
      <c r="HJ17" s="13"/>
    </row>
    <row r="18" spans="1:220" ht="15.75" customHeight="1" x14ac:dyDescent="0.15">
      <c r="A18" s="3">
        <v>0</v>
      </c>
      <c r="B18" s="3">
        <v>0</v>
      </c>
      <c r="C18" s="34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N18" s="52" t="s">
        <v>184</v>
      </c>
      <c r="O18" s="51">
        <f>COUNTIF(E:E,35)</f>
        <v>1</v>
      </c>
      <c r="P18" s="53" t="s">
        <v>185</v>
      </c>
      <c r="Q18" s="54">
        <f>COUNTIF(D:D,17)</f>
        <v>0</v>
      </c>
      <c r="R18" s="53" t="s">
        <v>186</v>
      </c>
      <c r="S18" s="54">
        <f>COUNTIF(D:D,67)</f>
        <v>0</v>
      </c>
      <c r="T18" s="1" t="s">
        <v>187</v>
      </c>
      <c r="U18" s="1"/>
      <c r="V18" s="55"/>
      <c r="X18" s="56" t="s">
        <v>188</v>
      </c>
      <c r="Y18" s="57">
        <f>SUM(V107:V115)</f>
        <v>0</v>
      </c>
      <c r="AD18" s="14"/>
      <c r="AE18" s="14"/>
      <c r="AF18" s="14"/>
      <c r="AG18" s="14"/>
      <c r="AH18" s="14"/>
      <c r="AI18" s="65"/>
      <c r="AJ18" s="14"/>
      <c r="AK18" s="30"/>
      <c r="AL18" s="30"/>
      <c r="AM18" s="13"/>
      <c r="AN18" s="13"/>
      <c r="AO18" s="14"/>
      <c r="AP18" s="13"/>
      <c r="AQ18" s="13"/>
      <c r="AR18" s="14"/>
      <c r="AS18" s="13"/>
      <c r="AT18" s="13"/>
      <c r="AU18" s="58"/>
      <c r="AV18" s="14"/>
      <c r="AW18" s="13"/>
      <c r="AX18" s="13"/>
      <c r="AY18" s="58"/>
      <c r="AZ18" s="14"/>
      <c r="BA18" s="13"/>
      <c r="BB18" s="13"/>
      <c r="BC18" s="58"/>
      <c r="BD18" s="14"/>
      <c r="BE18" s="13"/>
      <c r="BF18" s="13"/>
      <c r="BG18" s="14"/>
      <c r="BH18" s="13"/>
      <c r="BI18" s="13"/>
      <c r="BJ18" s="58"/>
      <c r="BK18" s="14"/>
      <c r="BL18" s="13"/>
      <c r="BM18" s="13"/>
      <c r="BN18" s="58"/>
      <c r="BO18" s="14"/>
      <c r="BP18" s="13"/>
      <c r="BQ18" s="13"/>
      <c r="BR18" s="58"/>
      <c r="BS18" s="14"/>
      <c r="BT18" s="13"/>
      <c r="BU18" s="13"/>
      <c r="BV18" s="58"/>
      <c r="BW18" s="14"/>
      <c r="BX18" s="13"/>
      <c r="BY18" s="13"/>
      <c r="BZ18" s="58"/>
      <c r="CA18" s="14"/>
      <c r="CB18" s="13"/>
      <c r="CC18" s="13"/>
      <c r="CF18" s="58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Q18" s="13"/>
      <c r="DR18" s="13"/>
      <c r="DS18" s="14"/>
      <c r="DT18" s="13"/>
      <c r="DU18" s="13"/>
      <c r="DV18" s="14"/>
      <c r="DW18" s="13"/>
      <c r="DX18" s="13"/>
      <c r="DY18" s="58"/>
      <c r="DZ18" s="14"/>
      <c r="EA18" s="13"/>
      <c r="EB18" s="13"/>
      <c r="EC18" s="58"/>
      <c r="ED18" s="14"/>
      <c r="EE18" s="13"/>
      <c r="EF18" s="13"/>
      <c r="EG18" s="58"/>
      <c r="EH18" s="14"/>
      <c r="EI18" s="13"/>
      <c r="EJ18" s="58"/>
      <c r="EK18" s="14"/>
      <c r="EL18" s="13"/>
      <c r="EM18" s="13"/>
      <c r="EN18" s="58"/>
      <c r="EO18" s="14"/>
      <c r="EP18" s="13"/>
      <c r="EQ18" s="13"/>
      <c r="ER18" s="58"/>
      <c r="ES18" s="14"/>
      <c r="ET18" s="13"/>
      <c r="EU18" s="13"/>
      <c r="EV18" s="58"/>
      <c r="EW18" s="14"/>
      <c r="EX18" s="13"/>
      <c r="EY18" s="13"/>
      <c r="EZ18" s="58"/>
      <c r="FA18" s="14"/>
      <c r="FB18" s="13"/>
      <c r="FC18" s="13"/>
      <c r="FD18" s="58"/>
      <c r="FE18" s="14"/>
      <c r="FF18" s="13"/>
      <c r="FG18" s="13"/>
      <c r="FH18" s="58"/>
      <c r="FI18" s="14"/>
      <c r="FJ18" s="13"/>
      <c r="FK18" s="13"/>
      <c r="FL18" s="58"/>
      <c r="FM18" s="14"/>
      <c r="FN18" s="13"/>
      <c r="FO18" s="13"/>
      <c r="FP18" s="58"/>
      <c r="FQ18" s="14"/>
      <c r="FV18" s="58"/>
      <c r="FW18" s="58"/>
      <c r="FX18" s="14"/>
      <c r="FZ18" s="14"/>
      <c r="GA18" s="14"/>
      <c r="GB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T18" s="13"/>
      <c r="GU18" s="13"/>
      <c r="GV18" s="14"/>
      <c r="HD18" s="13"/>
      <c r="HE18" s="13"/>
      <c r="HF18" s="58"/>
      <c r="HG18" s="14"/>
      <c r="HH18" s="13"/>
      <c r="HI18" s="13"/>
      <c r="HJ18" s="58"/>
      <c r="HK18" s="14"/>
    </row>
    <row r="19" spans="1:220" ht="15.75" customHeight="1" x14ac:dyDescent="0.15">
      <c r="A19" s="3">
        <v>0</v>
      </c>
      <c r="B19" s="3">
        <v>0</v>
      </c>
      <c r="C19" s="34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N19" s="52" t="s">
        <v>189</v>
      </c>
      <c r="O19" s="51">
        <f>COUNTIF(E:E,36)</f>
        <v>0</v>
      </c>
      <c r="P19" s="53" t="s">
        <v>190</v>
      </c>
      <c r="Q19" s="54">
        <f>COUNTIF(D:D,18)</f>
        <v>0</v>
      </c>
      <c r="R19" s="53" t="s">
        <v>191</v>
      </c>
      <c r="S19" s="54">
        <f>COUNTIF(D:D,68)</f>
        <v>0</v>
      </c>
      <c r="T19" s="67" t="s">
        <v>192</v>
      </c>
      <c r="U19" s="67" t="s">
        <v>193</v>
      </c>
      <c r="V19" s="60">
        <f>COUNTIF(F:F,"=310")</f>
        <v>0</v>
      </c>
      <c r="X19" s="56" t="s">
        <v>194</v>
      </c>
      <c r="Y19" s="57">
        <f>SUM(V117:V120)</f>
        <v>0</v>
      </c>
      <c r="AD19" s="14"/>
      <c r="AE19" s="49"/>
      <c r="AF19" s="50"/>
      <c r="AG19" s="14"/>
      <c r="AH19" s="49"/>
      <c r="AI19" s="14"/>
      <c r="AJ19" s="14"/>
      <c r="AL19" s="63"/>
      <c r="CF19" s="14"/>
      <c r="CG19" s="14"/>
      <c r="CH19" s="14"/>
      <c r="CI19" s="14"/>
      <c r="CJ19" s="49"/>
      <c r="CK19" s="50"/>
      <c r="CL19" s="14"/>
      <c r="CM19" s="49"/>
      <c r="CN19" s="50"/>
      <c r="CO19" s="14"/>
      <c r="CP19" s="49"/>
      <c r="CQ19" s="50"/>
      <c r="CR19" s="14"/>
      <c r="CS19" s="49"/>
      <c r="CT19" s="50"/>
      <c r="CU19" s="14"/>
      <c r="CV19" s="49"/>
      <c r="CW19" s="50"/>
      <c r="CX19" s="14"/>
      <c r="CY19" s="49"/>
      <c r="CZ19" s="50"/>
      <c r="DA19" s="14"/>
      <c r="DB19" s="49"/>
      <c r="DC19" s="50"/>
      <c r="DD19" s="14"/>
      <c r="DE19" s="49"/>
      <c r="DF19" s="50"/>
      <c r="DG19" s="14"/>
      <c r="DH19" s="49"/>
      <c r="DI19" s="50"/>
      <c r="DJ19" s="14"/>
      <c r="DK19" s="49"/>
      <c r="DL19" s="50"/>
      <c r="DM19" s="14"/>
      <c r="DN19" s="49"/>
      <c r="DO19" s="50"/>
      <c r="DQ19" s="13"/>
      <c r="DR19" s="14"/>
      <c r="DT19" s="13"/>
      <c r="DU19" s="14"/>
      <c r="DW19" s="13"/>
      <c r="DX19" s="14"/>
      <c r="DY19" s="13"/>
      <c r="EA19" s="13"/>
      <c r="EB19" s="14"/>
      <c r="EC19" s="13"/>
      <c r="EE19" s="13"/>
      <c r="EF19" s="14"/>
      <c r="EG19" s="13"/>
      <c r="EI19" s="13"/>
      <c r="EJ19" s="13"/>
      <c r="EL19" s="13"/>
      <c r="EM19" s="14"/>
      <c r="EN19" s="13"/>
      <c r="EP19" s="13"/>
      <c r="EQ19" s="14"/>
      <c r="ER19" s="13"/>
      <c r="ET19" s="13"/>
      <c r="EU19" s="14"/>
      <c r="EV19" s="13"/>
      <c r="EX19" s="13"/>
      <c r="EY19" s="14"/>
      <c r="EZ19" s="13"/>
      <c r="FB19" s="13"/>
      <c r="FC19" s="14"/>
      <c r="FD19" s="13"/>
      <c r="FF19" s="13"/>
      <c r="FG19" s="14"/>
      <c r="FH19" s="13"/>
      <c r="FJ19" s="13"/>
      <c r="FK19" s="14"/>
      <c r="FL19" s="13"/>
      <c r="FN19" s="13"/>
      <c r="FO19" s="14"/>
      <c r="FP19" s="13"/>
      <c r="FX19" s="14"/>
      <c r="FZ19" s="14"/>
      <c r="GA19" s="14"/>
      <c r="GD19" s="14"/>
      <c r="GE19" s="14"/>
      <c r="GG19" s="14"/>
      <c r="GH19" s="14"/>
      <c r="GJ19" s="14"/>
      <c r="GK19" s="14"/>
      <c r="GM19" s="14"/>
      <c r="GN19" s="14"/>
      <c r="GP19" s="14"/>
      <c r="GQ19" s="14"/>
      <c r="GT19" s="13"/>
      <c r="GU19" s="14"/>
      <c r="HD19" s="13"/>
      <c r="HE19" s="14"/>
      <c r="HF19" s="13"/>
      <c r="HH19" s="13"/>
      <c r="HI19" s="14"/>
      <c r="HJ19" s="13"/>
    </row>
    <row r="20" spans="1:220" ht="15.75" customHeight="1" x14ac:dyDescent="0.15">
      <c r="A20" s="3">
        <v>0</v>
      </c>
      <c r="B20" s="3">
        <v>0</v>
      </c>
      <c r="C20" s="34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N20" s="52" t="s">
        <v>195</v>
      </c>
      <c r="O20" s="51">
        <f>COUNTIF(E:E,37)</f>
        <v>0</v>
      </c>
      <c r="P20" s="53" t="s">
        <v>196</v>
      </c>
      <c r="Q20" s="54">
        <f>COUNTIF(D:D,19)</f>
        <v>0</v>
      </c>
      <c r="R20" s="53" t="s">
        <v>197</v>
      </c>
      <c r="S20" s="54">
        <f>COUNTIF(D:D,69)</f>
        <v>0</v>
      </c>
      <c r="T20" s="59" t="s">
        <v>198</v>
      </c>
      <c r="U20" s="59" t="s">
        <v>199</v>
      </c>
      <c r="V20" s="60">
        <f>COUNTIF(F:F,"=320")</f>
        <v>0</v>
      </c>
      <c r="X20" s="56" t="s">
        <v>200</v>
      </c>
      <c r="Y20" s="57">
        <f>SUM(V122:V129)</f>
        <v>1</v>
      </c>
      <c r="AD20" s="14"/>
      <c r="AE20" s="14"/>
      <c r="AF20" s="14"/>
      <c r="AG20" s="14"/>
      <c r="AH20" s="14"/>
      <c r="AI20" s="65"/>
      <c r="AJ20" s="14"/>
      <c r="AK20" s="30"/>
      <c r="AL20" s="30"/>
      <c r="CF20" s="58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Q20" s="13"/>
      <c r="DR20" s="13"/>
      <c r="DS20" s="14"/>
      <c r="DT20" s="13"/>
      <c r="DU20" s="13"/>
      <c r="DV20" s="14"/>
      <c r="DW20" s="13"/>
      <c r="DX20" s="13"/>
      <c r="DY20" s="58"/>
      <c r="DZ20" s="14"/>
      <c r="EA20" s="13"/>
      <c r="EB20" s="13"/>
      <c r="EC20" s="58"/>
      <c r="ED20" s="14"/>
      <c r="EE20" s="13"/>
      <c r="EF20" s="13"/>
      <c r="EG20" s="58"/>
      <c r="EH20" s="14"/>
      <c r="EI20" s="13"/>
      <c r="EJ20" s="58"/>
      <c r="EK20" s="14"/>
      <c r="EL20" s="13"/>
      <c r="EM20" s="13"/>
      <c r="EN20" s="58"/>
      <c r="EO20" s="14"/>
      <c r="EP20" s="13"/>
      <c r="EQ20" s="13"/>
      <c r="ER20" s="58"/>
      <c r="ES20" s="14"/>
      <c r="ET20" s="13"/>
      <c r="EU20" s="13"/>
      <c r="EV20" s="58"/>
      <c r="EW20" s="14"/>
      <c r="EX20" s="13"/>
      <c r="EY20" s="13"/>
      <c r="EZ20" s="58"/>
      <c r="FA20" s="14"/>
      <c r="FB20" s="13"/>
      <c r="FC20" s="13"/>
      <c r="FD20" s="58"/>
      <c r="FE20" s="14"/>
      <c r="FF20" s="13"/>
      <c r="FG20" s="13"/>
      <c r="FH20" s="58"/>
      <c r="FI20" s="14"/>
      <c r="FJ20" s="13"/>
      <c r="FK20" s="13"/>
      <c r="FL20" s="58"/>
      <c r="FM20" s="14"/>
      <c r="FN20" s="13"/>
      <c r="FO20" s="13"/>
      <c r="FP20" s="58"/>
      <c r="FQ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T20" s="13"/>
      <c r="GU20" s="13"/>
      <c r="GV20" s="14"/>
      <c r="HD20" s="13"/>
      <c r="HE20" s="13"/>
      <c r="HF20" s="58"/>
      <c r="HG20" s="14"/>
      <c r="HH20" s="13"/>
      <c r="HI20" s="13"/>
      <c r="HJ20" s="58"/>
      <c r="HK20" s="14"/>
    </row>
    <row r="21" spans="1:220" ht="15.75" customHeight="1" x14ac:dyDescent="0.15">
      <c r="A21" s="3">
        <v>0</v>
      </c>
      <c r="B21" s="3">
        <v>0</v>
      </c>
      <c r="C21" s="34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N21" s="52" t="s">
        <v>201</v>
      </c>
      <c r="O21" s="51">
        <f>COUNTIF(E:E,38)</f>
        <v>0</v>
      </c>
      <c r="P21" s="53" t="s">
        <v>202</v>
      </c>
      <c r="Q21" s="54">
        <f>COUNTIF(D:D,20)</f>
        <v>0</v>
      </c>
      <c r="R21" s="53" t="s">
        <v>203</v>
      </c>
      <c r="S21" s="54">
        <f>COUNTIF(D:D,70)</f>
        <v>2</v>
      </c>
      <c r="T21" s="59" t="s">
        <v>204</v>
      </c>
      <c r="U21" s="59" t="s">
        <v>205</v>
      </c>
      <c r="V21" s="60">
        <f>COUNTIF(F:F,"=330")</f>
        <v>0</v>
      </c>
      <c r="X21" s="68" t="s">
        <v>113</v>
      </c>
      <c r="Y21" s="69">
        <f>SUM(Y2:Y20)</f>
        <v>9</v>
      </c>
      <c r="AD21" s="14"/>
      <c r="AE21" s="49"/>
      <c r="AF21" s="50"/>
      <c r="AG21" s="14"/>
      <c r="AH21" s="49"/>
      <c r="AI21" s="14"/>
      <c r="AJ21" s="14"/>
      <c r="AL21" s="63"/>
      <c r="CF21" s="14"/>
      <c r="CG21" s="14"/>
      <c r="CH21" s="14"/>
      <c r="CI21" s="14"/>
      <c r="CJ21" s="49"/>
      <c r="CK21" s="50"/>
      <c r="CL21" s="14"/>
      <c r="CM21" s="49"/>
      <c r="CN21" s="50"/>
      <c r="CO21" s="14"/>
      <c r="CP21" s="49"/>
      <c r="CQ21" s="50"/>
      <c r="CR21" s="14"/>
      <c r="CS21" s="49"/>
      <c r="CT21" s="50"/>
      <c r="CU21" s="14"/>
      <c r="CV21" s="49"/>
      <c r="CW21" s="50"/>
      <c r="CX21" s="14"/>
      <c r="CY21" s="49"/>
      <c r="CZ21" s="50"/>
      <c r="DA21" s="14"/>
      <c r="DB21" s="49"/>
      <c r="DC21" s="50"/>
      <c r="DD21" s="14"/>
      <c r="DE21" s="49"/>
      <c r="DF21" s="50"/>
      <c r="DG21" s="14"/>
      <c r="DH21" s="49"/>
      <c r="DI21" s="50"/>
      <c r="DJ21" s="14"/>
      <c r="DK21" s="49"/>
      <c r="DL21" s="50"/>
      <c r="DM21" s="14"/>
      <c r="DN21" s="49"/>
      <c r="DO21" s="50"/>
      <c r="DQ21" s="13"/>
      <c r="DR21" s="14"/>
      <c r="DT21" s="13"/>
      <c r="DU21" s="14"/>
      <c r="DW21" s="13"/>
      <c r="DX21" s="14"/>
      <c r="DY21" s="13"/>
      <c r="EA21" s="13"/>
      <c r="EB21" s="14"/>
      <c r="EC21" s="13"/>
      <c r="EE21" s="13"/>
      <c r="EF21" s="14"/>
      <c r="EG21" s="13"/>
      <c r="EI21" s="13"/>
      <c r="EJ21" s="13"/>
      <c r="EL21" s="13"/>
      <c r="EM21" s="14"/>
      <c r="EN21" s="13"/>
      <c r="EP21" s="13"/>
      <c r="EQ21" s="14"/>
      <c r="ER21" s="13"/>
      <c r="ET21" s="13"/>
      <c r="EU21" s="14"/>
      <c r="EV21" s="13"/>
      <c r="EX21" s="13"/>
      <c r="EY21" s="14"/>
      <c r="EZ21" s="13"/>
      <c r="FB21" s="13"/>
      <c r="FC21" s="14"/>
      <c r="FD21" s="13"/>
      <c r="FF21" s="13"/>
      <c r="FG21" s="14"/>
      <c r="FH21" s="13"/>
      <c r="FJ21" s="13"/>
      <c r="FK21" s="14"/>
      <c r="FL21" s="13"/>
      <c r="FN21" s="13"/>
      <c r="FO21" s="14"/>
      <c r="FP21" s="13"/>
      <c r="GD21" s="14"/>
      <c r="GE21" s="14"/>
      <c r="GG21" s="14"/>
      <c r="GH21" s="14"/>
      <c r="GJ21" s="14"/>
      <c r="GK21" s="14"/>
      <c r="GM21" s="14"/>
      <c r="GN21" s="14"/>
      <c r="GP21" s="14"/>
      <c r="GQ21" s="14"/>
      <c r="GT21" s="13"/>
      <c r="GU21" s="14"/>
      <c r="HD21" s="13"/>
      <c r="HE21" s="14"/>
      <c r="HF21" s="13"/>
      <c r="HH21" s="13"/>
      <c r="HI21" s="14"/>
      <c r="HJ21" s="13"/>
    </row>
    <row r="22" spans="1:220" ht="15.75" customHeight="1" x14ac:dyDescent="0.15">
      <c r="A22" s="3">
        <v>0</v>
      </c>
      <c r="B22" s="3">
        <v>0</v>
      </c>
      <c r="C22" s="34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N22" s="52" t="s">
        <v>206</v>
      </c>
      <c r="O22" s="51">
        <f>COUNTIF(E:E,39)</f>
        <v>0</v>
      </c>
      <c r="P22" s="53" t="s">
        <v>207</v>
      </c>
      <c r="Q22" s="54">
        <f>COUNTIF(D:D,21)</f>
        <v>0</v>
      </c>
      <c r="R22" s="53" t="s">
        <v>208</v>
      </c>
      <c r="S22" s="54">
        <f>COUNTIF(D:D,71)</f>
        <v>0</v>
      </c>
      <c r="T22" s="59" t="s">
        <v>209</v>
      </c>
      <c r="U22" s="59" t="s">
        <v>210</v>
      </c>
      <c r="V22" s="60">
        <f>COUNTIF(F:F,"=340")</f>
        <v>2</v>
      </c>
      <c r="AD22" s="14"/>
      <c r="AE22" s="14"/>
      <c r="AF22" s="14"/>
      <c r="AG22" s="14"/>
      <c r="AH22" s="14"/>
      <c r="AI22" s="65"/>
      <c r="AJ22" s="14"/>
      <c r="AK22" s="30"/>
      <c r="AL22" s="30"/>
      <c r="CF22" s="58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Q22" s="13"/>
      <c r="DR22" s="13"/>
      <c r="DS22" s="14"/>
      <c r="DT22" s="13"/>
      <c r="DU22" s="13"/>
      <c r="DV22" s="14"/>
      <c r="DW22" s="13"/>
      <c r="DX22" s="13"/>
      <c r="DY22" s="58"/>
      <c r="DZ22" s="14"/>
      <c r="EA22" s="13"/>
      <c r="EB22" s="13"/>
      <c r="EC22" s="58"/>
      <c r="ED22" s="14"/>
      <c r="EE22" s="13"/>
      <c r="EF22" s="13"/>
      <c r="EG22" s="58"/>
      <c r="EH22" s="14"/>
      <c r="EI22" s="13"/>
      <c r="EJ22" s="58"/>
      <c r="EK22" s="14"/>
      <c r="EL22" s="13"/>
      <c r="EM22" s="13"/>
      <c r="EN22" s="58"/>
      <c r="EO22" s="14"/>
      <c r="EP22" s="13"/>
      <c r="EQ22" s="13"/>
      <c r="ER22" s="58"/>
      <c r="ES22" s="14"/>
      <c r="ET22" s="13"/>
      <c r="EU22" s="13"/>
      <c r="EV22" s="58"/>
      <c r="EW22" s="14"/>
      <c r="EX22" s="13"/>
      <c r="EY22" s="13"/>
      <c r="EZ22" s="58"/>
      <c r="FA22" s="14"/>
      <c r="FB22" s="13"/>
      <c r="FC22" s="13"/>
      <c r="FD22" s="58"/>
      <c r="FE22" s="14"/>
      <c r="FF22" s="13"/>
      <c r="FG22" s="13"/>
      <c r="FH22" s="58"/>
      <c r="FI22" s="14"/>
      <c r="FJ22" s="13"/>
      <c r="FK22" s="13"/>
      <c r="FL22" s="58"/>
      <c r="FM22" s="14"/>
      <c r="FN22" s="13"/>
      <c r="FO22" s="13"/>
      <c r="FP22" s="58"/>
      <c r="FQ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T22" s="13"/>
      <c r="GU22" s="13"/>
      <c r="GV22" s="14"/>
      <c r="HD22" s="13"/>
      <c r="HE22" s="13"/>
      <c r="HF22" s="58"/>
      <c r="HG22" s="14"/>
      <c r="HH22" s="13"/>
      <c r="HI22" s="13"/>
      <c r="HJ22" s="58"/>
      <c r="HK22" s="14"/>
    </row>
    <row r="23" spans="1:220" ht="15.75" customHeight="1" x14ac:dyDescent="0.15">
      <c r="A23" s="3">
        <v>0</v>
      </c>
      <c r="B23" s="3">
        <v>0</v>
      </c>
      <c r="C23" s="34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N23" s="52" t="s">
        <v>211</v>
      </c>
      <c r="O23" s="51">
        <f>COUNTIF(E:E,40)</f>
        <v>0</v>
      </c>
      <c r="P23" s="53" t="s">
        <v>212</v>
      </c>
      <c r="Q23" s="54">
        <f>COUNTIF(D:D,22)</f>
        <v>0</v>
      </c>
      <c r="R23" s="53" t="s">
        <v>213</v>
      </c>
      <c r="S23" s="54">
        <f>COUNTIF(D:D,72)</f>
        <v>0</v>
      </c>
      <c r="T23" s="59" t="s">
        <v>214</v>
      </c>
      <c r="U23" s="59" t="s">
        <v>215</v>
      </c>
      <c r="V23" s="60">
        <f>COUNTIF(F:F,"=350")</f>
        <v>0</v>
      </c>
      <c r="AD23" s="14"/>
      <c r="AE23" s="49"/>
      <c r="AF23" s="50"/>
      <c r="AG23" s="14"/>
      <c r="AH23" s="49"/>
      <c r="AI23" s="14"/>
      <c r="AJ23" s="14"/>
      <c r="AL23" s="63"/>
      <c r="CF23" s="14"/>
      <c r="CG23" s="14"/>
      <c r="CH23" s="14"/>
      <c r="CI23" s="14"/>
      <c r="CJ23" s="49"/>
      <c r="CK23" s="50"/>
      <c r="CL23" s="14"/>
      <c r="CM23" s="49"/>
      <c r="CN23" s="50"/>
      <c r="CO23" s="14"/>
      <c r="CP23" s="49"/>
      <c r="CQ23" s="50"/>
      <c r="CR23" s="14"/>
      <c r="CS23" s="49"/>
      <c r="CT23" s="50"/>
      <c r="CU23" s="14"/>
      <c r="CV23" s="49"/>
      <c r="CW23" s="50"/>
      <c r="CX23" s="14"/>
      <c r="CY23" s="49"/>
      <c r="CZ23" s="50"/>
      <c r="DA23" s="14"/>
      <c r="DB23" s="49"/>
      <c r="DC23" s="50"/>
      <c r="DD23" s="14"/>
      <c r="DE23" s="49"/>
      <c r="DF23" s="50"/>
      <c r="DG23" s="14"/>
      <c r="DH23" s="49"/>
      <c r="DI23" s="50"/>
      <c r="DJ23" s="14"/>
      <c r="DK23" s="49"/>
      <c r="DL23" s="50"/>
      <c r="DM23" s="14"/>
      <c r="DN23" s="49"/>
      <c r="DO23" s="50"/>
      <c r="DQ23" s="13"/>
      <c r="DR23" s="14"/>
      <c r="DT23" s="13"/>
      <c r="DU23" s="14"/>
      <c r="DW23" s="13"/>
      <c r="DX23" s="14"/>
      <c r="DY23" s="13"/>
      <c r="EA23" s="13"/>
      <c r="EB23" s="14"/>
      <c r="EC23" s="13"/>
      <c r="EE23" s="13"/>
      <c r="EF23" s="14"/>
      <c r="EG23" s="13"/>
      <c r="EI23" s="13"/>
      <c r="EJ23" s="13"/>
      <c r="EL23" s="13"/>
      <c r="EM23" s="14"/>
      <c r="EN23" s="13"/>
      <c r="EP23" s="13"/>
      <c r="EQ23" s="14"/>
      <c r="ER23" s="13"/>
      <c r="ET23" s="13"/>
      <c r="EU23" s="14"/>
      <c r="EV23" s="13"/>
      <c r="EX23" s="13"/>
      <c r="EY23" s="14"/>
      <c r="EZ23" s="13"/>
      <c r="FB23" s="13"/>
      <c r="FC23" s="14"/>
      <c r="FD23" s="13"/>
      <c r="FF23" s="13"/>
      <c r="FG23" s="14"/>
      <c r="FH23" s="13"/>
      <c r="FJ23" s="13"/>
      <c r="FK23" s="14"/>
      <c r="FL23" s="13"/>
      <c r="FN23" s="13"/>
      <c r="FO23" s="14"/>
      <c r="FP23" s="13"/>
      <c r="GD23" s="14"/>
      <c r="GE23" s="14"/>
      <c r="GG23" s="14"/>
      <c r="GH23" s="14"/>
      <c r="GJ23" s="14"/>
      <c r="GK23" s="14"/>
      <c r="GM23" s="14"/>
      <c r="GN23" s="14"/>
      <c r="GP23" s="14"/>
      <c r="GQ23" s="14"/>
      <c r="GT23" s="13"/>
      <c r="GU23" s="14"/>
      <c r="HD23" s="13"/>
      <c r="HE23" s="14"/>
      <c r="HF23" s="13"/>
      <c r="HH23" s="13"/>
      <c r="HI23" s="14"/>
      <c r="HJ23" s="13"/>
    </row>
    <row r="24" spans="1:220" ht="15.75" customHeight="1" x14ac:dyDescent="0.15">
      <c r="A24" s="3">
        <v>0</v>
      </c>
      <c r="B24" s="3">
        <v>0</v>
      </c>
      <c r="C24" s="34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N24" s="52" t="s">
        <v>216</v>
      </c>
      <c r="O24" s="51">
        <f>COUNTIF(E:E,41)</f>
        <v>1</v>
      </c>
      <c r="P24" s="53" t="s">
        <v>217</v>
      </c>
      <c r="Q24" s="54">
        <f>COUNTIF(D:D,23)</f>
        <v>0</v>
      </c>
      <c r="R24" s="53" t="s">
        <v>218</v>
      </c>
      <c r="S24" s="54">
        <f>COUNTIF(D:D,73)</f>
        <v>0</v>
      </c>
      <c r="T24" s="59" t="s">
        <v>219</v>
      </c>
      <c r="U24" s="59" t="s">
        <v>220</v>
      </c>
      <c r="V24" s="60">
        <f>COUNTIF(F:F,"=360")</f>
        <v>0</v>
      </c>
      <c r="AD24" s="14"/>
      <c r="AE24" s="14"/>
      <c r="AF24" s="14"/>
      <c r="AG24" s="14"/>
      <c r="AH24" s="14"/>
      <c r="AI24" s="65"/>
      <c r="AJ24" s="14"/>
      <c r="AK24" s="30"/>
      <c r="AL24" s="30"/>
      <c r="CF24" s="58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Q24" s="13"/>
      <c r="DR24" s="13"/>
      <c r="DS24" s="14"/>
      <c r="DT24" s="13"/>
      <c r="DU24" s="13"/>
      <c r="DV24" s="14"/>
      <c r="DW24" s="13"/>
      <c r="DX24" s="13"/>
      <c r="DY24" s="58"/>
      <c r="DZ24" s="14"/>
      <c r="EA24" s="13"/>
      <c r="EB24" s="13"/>
      <c r="EC24" s="58"/>
      <c r="ED24" s="14"/>
      <c r="EE24" s="13"/>
      <c r="EF24" s="13"/>
      <c r="EG24" s="58"/>
      <c r="EH24" s="14"/>
      <c r="EI24" s="13"/>
      <c r="EJ24" s="58"/>
      <c r="EK24" s="14"/>
      <c r="EL24" s="13"/>
      <c r="EM24" s="13"/>
      <c r="EN24" s="58"/>
      <c r="EO24" s="14"/>
      <c r="EP24" s="13"/>
      <c r="EQ24" s="13"/>
      <c r="ER24" s="58"/>
      <c r="ES24" s="14"/>
      <c r="ET24" s="13"/>
      <c r="EU24" s="13"/>
      <c r="EV24" s="58"/>
      <c r="EW24" s="14"/>
      <c r="EX24" s="13"/>
      <c r="EY24" s="13"/>
      <c r="EZ24" s="58"/>
      <c r="FA24" s="14"/>
      <c r="FB24" s="13"/>
      <c r="FC24" s="13"/>
      <c r="FD24" s="58"/>
      <c r="FE24" s="14"/>
      <c r="FF24" s="13"/>
      <c r="FG24" s="13"/>
      <c r="FH24" s="58"/>
      <c r="FI24" s="14"/>
      <c r="FJ24" s="13"/>
      <c r="FK24" s="13"/>
      <c r="FL24" s="58"/>
      <c r="FM24" s="14"/>
      <c r="FN24" s="13"/>
      <c r="FO24" s="13"/>
      <c r="FP24" s="58"/>
      <c r="FQ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T24" s="13"/>
      <c r="GU24" s="13"/>
      <c r="GV24" s="14"/>
      <c r="HD24" s="13"/>
      <c r="HE24" s="13"/>
      <c r="HF24" s="58"/>
      <c r="HG24" s="14"/>
      <c r="HH24" s="13"/>
      <c r="HI24" s="13"/>
      <c r="HJ24" s="58"/>
      <c r="HK24" s="14"/>
    </row>
    <row r="25" spans="1:220" ht="15.75" customHeight="1" x14ac:dyDescent="0.15">
      <c r="A25" s="3">
        <v>0</v>
      </c>
      <c r="B25" s="3">
        <v>0</v>
      </c>
      <c r="C25" s="34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N25" s="70" t="s">
        <v>221</v>
      </c>
      <c r="O25" s="51">
        <f>COUNTIF(E:E,42)</f>
        <v>1</v>
      </c>
      <c r="P25" s="53" t="s">
        <v>222</v>
      </c>
      <c r="Q25" s="54">
        <f>COUNTIF(D:D,24)</f>
        <v>0</v>
      </c>
      <c r="R25" s="53" t="s">
        <v>223</v>
      </c>
      <c r="S25" s="54">
        <f>COUNTIF(D:D,74)</f>
        <v>0</v>
      </c>
      <c r="T25" s="59" t="s">
        <v>224</v>
      </c>
      <c r="U25" s="59" t="s">
        <v>225</v>
      </c>
      <c r="V25" s="60">
        <f>COUNTIF(F:F,"=370")</f>
        <v>0</v>
      </c>
      <c r="AD25" s="14"/>
      <c r="AE25" s="49"/>
      <c r="AF25" s="50"/>
      <c r="AG25" s="14"/>
      <c r="AH25" s="49"/>
      <c r="AI25" s="14"/>
      <c r="AJ25" s="14"/>
      <c r="AL25" s="63"/>
      <c r="CH25" s="14"/>
      <c r="CI25" s="14"/>
      <c r="CJ25" s="49"/>
      <c r="CK25" s="50"/>
      <c r="CL25" s="14"/>
      <c r="CM25" s="49"/>
      <c r="CN25" s="50"/>
      <c r="CO25" s="14"/>
      <c r="CP25" s="49"/>
      <c r="CQ25" s="50"/>
      <c r="CR25" s="14"/>
      <c r="CS25" s="49"/>
      <c r="CT25" s="50"/>
      <c r="CU25" s="14"/>
      <c r="CV25" s="49"/>
      <c r="CW25" s="50"/>
      <c r="CX25" s="14"/>
      <c r="CY25" s="49"/>
      <c r="CZ25" s="50"/>
      <c r="DA25" s="14"/>
      <c r="DB25" s="49"/>
      <c r="DC25" s="50"/>
      <c r="DD25" s="14"/>
      <c r="DE25" s="49"/>
      <c r="DF25" s="50"/>
      <c r="DG25" s="14"/>
      <c r="DH25" s="49"/>
      <c r="DI25" s="50"/>
      <c r="DJ25" s="14"/>
      <c r="DK25" s="49"/>
      <c r="DL25" s="50"/>
      <c r="DM25" s="14"/>
      <c r="DN25" s="49"/>
      <c r="DO25" s="50"/>
      <c r="DQ25" s="13"/>
      <c r="DR25" s="14"/>
      <c r="DT25" s="13"/>
      <c r="DU25" s="14"/>
      <c r="DW25" s="13"/>
      <c r="DX25" s="14"/>
      <c r="DY25" s="13"/>
      <c r="EA25" s="13"/>
      <c r="EB25" s="14"/>
      <c r="EC25" s="13"/>
      <c r="EE25" s="13"/>
      <c r="EF25" s="14"/>
      <c r="EG25" s="13"/>
      <c r="EI25" s="13"/>
      <c r="EJ25" s="13"/>
      <c r="EL25" s="13"/>
      <c r="EM25" s="14"/>
      <c r="EN25" s="13"/>
      <c r="EP25" s="13"/>
      <c r="EQ25" s="14"/>
      <c r="ER25" s="13"/>
      <c r="ET25" s="13"/>
      <c r="EU25" s="14"/>
      <c r="EV25" s="13"/>
      <c r="EX25" s="13"/>
      <c r="EY25" s="14"/>
      <c r="EZ25" s="13"/>
      <c r="FB25" s="13"/>
      <c r="FC25" s="14"/>
      <c r="FD25" s="13"/>
      <c r="FF25" s="13"/>
      <c r="FG25" s="14"/>
      <c r="FH25" s="13"/>
      <c r="FJ25" s="13"/>
      <c r="FK25" s="14"/>
      <c r="FL25" s="13"/>
      <c r="FN25" s="13"/>
      <c r="FO25" s="14"/>
      <c r="FP25" s="13"/>
      <c r="GD25" s="14"/>
      <c r="GE25" s="14"/>
      <c r="GG25" s="14"/>
      <c r="GH25" s="14"/>
      <c r="GJ25" s="14"/>
      <c r="GK25" s="14"/>
      <c r="GM25" s="14"/>
      <c r="GN25" s="14"/>
      <c r="GP25" s="14"/>
      <c r="GQ25" s="14"/>
      <c r="GT25" s="13"/>
      <c r="GU25" s="14"/>
      <c r="HD25" s="13"/>
      <c r="HE25" s="14"/>
      <c r="HF25" s="13"/>
      <c r="HH25" s="13"/>
      <c r="HI25" s="14"/>
      <c r="HJ25" s="13"/>
    </row>
    <row r="26" spans="1:220" ht="15.75" customHeight="1" x14ac:dyDescent="0.15">
      <c r="A26" s="3">
        <v>0</v>
      </c>
      <c r="B26" s="3">
        <v>0</v>
      </c>
      <c r="C26" s="34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N26" s="71" t="s">
        <v>113</v>
      </c>
      <c r="O26" s="72">
        <f>SUM(O2:O25)</f>
        <v>9</v>
      </c>
      <c r="P26" s="53" t="s">
        <v>226</v>
      </c>
      <c r="Q26" s="54">
        <f>COUNTIF(D:D,25)</f>
        <v>0</v>
      </c>
      <c r="R26" s="53" t="s">
        <v>227</v>
      </c>
      <c r="S26" s="54">
        <f>COUNTIF(D:D,75)</f>
        <v>0</v>
      </c>
      <c r="T26" s="73" t="s">
        <v>228</v>
      </c>
      <c r="U26" s="59" t="s">
        <v>229</v>
      </c>
      <c r="V26" s="60">
        <f>COUNTIF(F:F,"=380")</f>
        <v>1</v>
      </c>
      <c r="AD26" s="14"/>
      <c r="AE26" s="14"/>
      <c r="AF26" s="14"/>
      <c r="AG26" s="14"/>
      <c r="AH26" s="14"/>
      <c r="AI26" s="65"/>
      <c r="AJ26" s="14"/>
      <c r="AK26" s="30"/>
      <c r="AL26" s="30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Q26" s="13"/>
      <c r="DR26" s="13"/>
      <c r="DS26" s="14"/>
      <c r="DT26" s="13"/>
      <c r="DU26" s="13"/>
      <c r="DV26" s="14"/>
      <c r="DW26" s="13"/>
      <c r="DX26" s="13"/>
      <c r="DY26" s="58"/>
      <c r="DZ26" s="14"/>
      <c r="EA26" s="13"/>
      <c r="EB26" s="13"/>
      <c r="EC26" s="58"/>
      <c r="ED26" s="14"/>
      <c r="EE26" s="13"/>
      <c r="EF26" s="13"/>
      <c r="EG26" s="58"/>
      <c r="EH26" s="14"/>
      <c r="EI26" s="13"/>
      <c r="EJ26" s="58"/>
      <c r="EK26" s="14"/>
      <c r="EL26" s="13"/>
      <c r="EM26" s="13"/>
      <c r="EN26" s="58"/>
      <c r="EO26" s="14"/>
      <c r="EP26" s="13"/>
      <c r="EQ26" s="13"/>
      <c r="ER26" s="58"/>
      <c r="ES26" s="14"/>
      <c r="ET26" s="13"/>
      <c r="EU26" s="13"/>
      <c r="EV26" s="58"/>
      <c r="EW26" s="14"/>
      <c r="EX26" s="13"/>
      <c r="EY26" s="13"/>
      <c r="EZ26" s="58"/>
      <c r="FA26" s="14"/>
      <c r="FB26" s="13"/>
      <c r="FC26" s="13"/>
      <c r="FD26" s="58"/>
      <c r="FE26" s="14"/>
      <c r="FF26" s="13"/>
      <c r="FG26" s="13"/>
      <c r="FH26" s="58"/>
      <c r="FI26" s="14"/>
      <c r="FJ26" s="13"/>
      <c r="FK26" s="13"/>
      <c r="FL26" s="58"/>
      <c r="FM26" s="14"/>
      <c r="FN26" s="13"/>
      <c r="FO26" s="13"/>
      <c r="FP26" s="58"/>
      <c r="FQ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T26" s="13"/>
      <c r="GU26" s="13"/>
      <c r="GV26" s="14"/>
      <c r="HD26" s="13"/>
      <c r="HE26" s="13"/>
      <c r="HF26" s="58"/>
      <c r="HG26" s="14"/>
      <c r="HH26" s="13"/>
      <c r="HI26" s="13"/>
      <c r="HJ26" s="58"/>
      <c r="HK26" s="14"/>
    </row>
    <row r="27" spans="1:220" ht="15.75" customHeight="1" x14ac:dyDescent="0.15">
      <c r="A27" s="3">
        <v>0</v>
      </c>
      <c r="B27" s="3">
        <v>0</v>
      </c>
      <c r="C27" s="34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N27" s="74"/>
      <c r="O27" s="75"/>
      <c r="P27" s="53" t="s">
        <v>230</v>
      </c>
      <c r="Q27" s="54">
        <f>COUNTIF(D:D,26)</f>
        <v>0</v>
      </c>
      <c r="R27" s="53" t="s">
        <v>231</v>
      </c>
      <c r="S27" s="54">
        <f>COUNTIF(D:D,76)</f>
        <v>0</v>
      </c>
      <c r="T27" s="1" t="s">
        <v>232</v>
      </c>
      <c r="U27" s="1"/>
      <c r="V27" s="55"/>
      <c r="AD27" s="14"/>
      <c r="AE27" s="49"/>
      <c r="AF27" s="50"/>
      <c r="AG27" s="14"/>
      <c r="AH27" s="49"/>
      <c r="AL27" s="63"/>
      <c r="CG27" s="76"/>
      <c r="CI27" s="14"/>
      <c r="CJ27" s="49"/>
      <c r="CK27" s="50"/>
      <c r="CL27" s="14"/>
      <c r="CM27" s="49"/>
      <c r="CN27" s="50"/>
      <c r="CO27" s="14"/>
      <c r="CP27" s="49"/>
      <c r="CQ27" s="50"/>
      <c r="CR27" s="14"/>
      <c r="CS27" s="49"/>
      <c r="CT27" s="50"/>
      <c r="CU27" s="14"/>
      <c r="CV27" s="49"/>
      <c r="CW27" s="50"/>
      <c r="CX27" s="14"/>
      <c r="CY27" s="49"/>
      <c r="CZ27" s="50"/>
      <c r="DA27" s="14"/>
      <c r="DB27" s="49"/>
      <c r="DC27" s="50"/>
      <c r="DD27" s="14"/>
      <c r="DE27" s="49"/>
      <c r="DF27" s="50"/>
      <c r="DG27" s="14"/>
      <c r="DH27" s="49"/>
      <c r="DI27" s="50"/>
      <c r="DJ27" s="14"/>
      <c r="DK27" s="49"/>
      <c r="DL27" s="50"/>
      <c r="DM27" s="14"/>
      <c r="DN27" s="49"/>
      <c r="DO27" s="50"/>
      <c r="DQ27" s="13"/>
      <c r="DR27" s="14"/>
      <c r="DT27" s="13"/>
      <c r="DU27" s="14"/>
      <c r="DW27" s="13"/>
      <c r="DX27" s="14"/>
      <c r="DY27" s="13"/>
      <c r="EA27" s="13"/>
      <c r="EB27" s="14"/>
      <c r="EC27" s="13"/>
      <c r="EE27" s="13"/>
      <c r="EF27" s="14"/>
      <c r="EG27" s="13"/>
      <c r="EI27" s="13"/>
      <c r="EJ27" s="13"/>
      <c r="EL27" s="13"/>
      <c r="EM27" s="14"/>
      <c r="EN27" s="13"/>
      <c r="EP27" s="13"/>
      <c r="EQ27" s="14"/>
      <c r="ER27" s="13"/>
      <c r="ET27" s="13"/>
      <c r="EU27" s="14"/>
      <c r="EV27" s="13"/>
      <c r="EX27" s="13"/>
      <c r="EY27" s="14"/>
      <c r="EZ27" s="13"/>
      <c r="FB27" s="13"/>
      <c r="FC27" s="14"/>
      <c r="FD27" s="13"/>
      <c r="FF27" s="13"/>
      <c r="FG27" s="14"/>
      <c r="FH27" s="13"/>
      <c r="FJ27" s="13"/>
      <c r="FK27" s="14"/>
      <c r="FL27" s="13"/>
      <c r="FN27" s="13"/>
      <c r="FO27" s="14"/>
      <c r="FP27" s="13"/>
      <c r="GD27" s="14"/>
      <c r="GE27" s="14"/>
      <c r="GG27" s="14"/>
      <c r="GH27" s="14"/>
      <c r="GJ27" s="14"/>
      <c r="GK27" s="14"/>
      <c r="GM27" s="14"/>
      <c r="GN27" s="14"/>
      <c r="GP27" s="14"/>
      <c r="GQ27" s="14"/>
      <c r="GT27" s="13"/>
      <c r="GU27" s="14"/>
      <c r="HD27" s="13"/>
      <c r="HE27" s="14"/>
      <c r="HF27" s="13"/>
      <c r="HH27" s="13"/>
      <c r="HI27" s="14"/>
      <c r="HJ27" s="13"/>
    </row>
    <row r="28" spans="1:220" ht="15.75" customHeight="1" x14ac:dyDescent="0.15">
      <c r="A28" s="3">
        <v>0</v>
      </c>
      <c r="B28" s="3">
        <v>0</v>
      </c>
      <c r="C28" s="34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N28" s="77" t="s">
        <v>233</v>
      </c>
      <c r="O28" s="48" t="s">
        <v>33</v>
      </c>
      <c r="P28" s="61" t="s">
        <v>234</v>
      </c>
      <c r="Q28" s="61">
        <f>SUM(Q2:Q27)</f>
        <v>0</v>
      </c>
      <c r="R28" s="53" t="s">
        <v>235</v>
      </c>
      <c r="S28" s="54">
        <f>COUNTIF(D:D,77)</f>
        <v>0</v>
      </c>
      <c r="T28" s="59" t="s">
        <v>236</v>
      </c>
      <c r="U28" s="59" t="s">
        <v>237</v>
      </c>
      <c r="V28" s="60">
        <f>COUNTIF(F:F,"=410")</f>
        <v>0</v>
      </c>
      <c r="AD28" s="14"/>
      <c r="AE28" s="14"/>
      <c r="AF28" s="14"/>
      <c r="AG28" s="14"/>
      <c r="A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Q28" s="13"/>
      <c r="DR28" s="13"/>
      <c r="DS28" s="14"/>
      <c r="DT28" s="13"/>
      <c r="DU28" s="13"/>
      <c r="DV28" s="14"/>
      <c r="DW28" s="13"/>
      <c r="DX28" s="13"/>
      <c r="DY28" s="58"/>
      <c r="DZ28" s="14"/>
      <c r="EA28" s="13"/>
      <c r="EB28" s="13"/>
      <c r="EC28" s="58"/>
      <c r="ED28" s="14"/>
      <c r="EE28" s="13"/>
      <c r="EF28" s="13"/>
      <c r="EG28" s="58"/>
      <c r="EH28" s="14"/>
      <c r="EI28" s="13"/>
      <c r="EJ28" s="58"/>
      <c r="EK28" s="14"/>
      <c r="EL28" s="13"/>
      <c r="EM28" s="13"/>
      <c r="EN28" s="58"/>
      <c r="EO28" s="14"/>
      <c r="EP28" s="13"/>
      <c r="EQ28" s="13"/>
      <c r="ER28" s="58"/>
      <c r="ES28" s="14"/>
      <c r="ET28" s="13"/>
      <c r="EU28" s="13"/>
      <c r="EV28" s="58"/>
      <c r="EW28" s="14"/>
      <c r="EX28" s="13"/>
      <c r="EY28" s="13"/>
      <c r="EZ28" s="58"/>
      <c r="FA28" s="14"/>
      <c r="FB28" s="13"/>
      <c r="FC28" s="13"/>
      <c r="FD28" s="58"/>
      <c r="FE28" s="14"/>
      <c r="FF28" s="13"/>
      <c r="FG28" s="13"/>
      <c r="FH28" s="58"/>
      <c r="FI28" s="14"/>
      <c r="FJ28" s="13"/>
      <c r="FK28" s="13"/>
      <c r="FL28" s="58"/>
      <c r="FM28" s="14"/>
      <c r="FN28" s="13"/>
      <c r="FO28" s="13"/>
      <c r="FP28" s="58"/>
      <c r="FQ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T28" s="13"/>
      <c r="GU28" s="13"/>
      <c r="GV28" s="14"/>
      <c r="HD28" s="13"/>
      <c r="HE28" s="13"/>
      <c r="HF28" s="58"/>
      <c r="HG28" s="14"/>
      <c r="HH28" s="13"/>
      <c r="HI28" s="13"/>
      <c r="HJ28" s="58"/>
      <c r="HK28" s="14"/>
    </row>
    <row r="29" spans="1:220" ht="15.75" customHeight="1" x14ac:dyDescent="0.15">
      <c r="A29" s="3">
        <v>0</v>
      </c>
      <c r="B29" s="3">
        <v>0</v>
      </c>
      <c r="C29" s="34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N29" s="78" t="s">
        <v>238</v>
      </c>
      <c r="O29" s="60">
        <f>COUNTIF(G:G,10)</f>
        <v>0</v>
      </c>
      <c r="R29" s="53" t="s">
        <v>239</v>
      </c>
      <c r="S29" s="54">
        <f>COUNTIF(D:D,78)</f>
        <v>0</v>
      </c>
      <c r="T29" s="59" t="s">
        <v>240</v>
      </c>
      <c r="U29" s="59" t="s">
        <v>241</v>
      </c>
      <c r="V29" s="60">
        <f>COUNTIF(F:F,"=420")</f>
        <v>0</v>
      </c>
      <c r="AD29" s="14"/>
      <c r="AE29" s="49"/>
      <c r="AF29" s="50"/>
      <c r="AG29" s="14"/>
      <c r="AH29" s="49"/>
      <c r="CI29" s="14"/>
      <c r="CJ29" s="49"/>
      <c r="CK29" s="50"/>
      <c r="CL29" s="14"/>
      <c r="CM29" s="49"/>
      <c r="CN29" s="50"/>
      <c r="CO29" s="14"/>
      <c r="CP29" s="49"/>
      <c r="CQ29" s="50"/>
      <c r="CR29" s="14"/>
      <c r="CS29" s="49"/>
      <c r="CT29" s="50"/>
      <c r="CU29" s="14"/>
      <c r="CV29" s="49"/>
      <c r="CW29" s="50"/>
      <c r="CX29" s="14"/>
      <c r="CY29" s="49"/>
      <c r="CZ29" s="50"/>
      <c r="DA29" s="14"/>
      <c r="DB29" s="49"/>
      <c r="DC29" s="50"/>
      <c r="DD29" s="14"/>
      <c r="DE29" s="49"/>
      <c r="DF29" s="50"/>
      <c r="DG29" s="14"/>
      <c r="DH29" s="49"/>
      <c r="DI29" s="50"/>
      <c r="DJ29" s="14"/>
      <c r="DK29" s="49"/>
      <c r="DL29" s="50"/>
      <c r="DM29" s="14"/>
      <c r="DN29" s="49"/>
      <c r="DO29" s="50"/>
      <c r="DQ29" s="13"/>
      <c r="DR29" s="14"/>
      <c r="DT29" s="13"/>
      <c r="DU29" s="14"/>
      <c r="DW29" s="13"/>
      <c r="DX29" s="14"/>
      <c r="DY29" s="13"/>
      <c r="EA29" s="13"/>
      <c r="EB29" s="14"/>
      <c r="EC29" s="13"/>
      <c r="EE29" s="13"/>
      <c r="EF29" s="14"/>
      <c r="EG29" s="13"/>
      <c r="EI29" s="13"/>
      <c r="EJ29" s="13"/>
      <c r="EL29" s="13"/>
      <c r="EM29" s="14"/>
      <c r="EN29" s="13"/>
      <c r="EP29" s="13"/>
      <c r="EQ29" s="14"/>
      <c r="ER29" s="13"/>
      <c r="ET29" s="13"/>
      <c r="EU29" s="14"/>
      <c r="EV29" s="13"/>
      <c r="EX29" s="13"/>
      <c r="EY29" s="14"/>
      <c r="EZ29" s="13"/>
      <c r="FB29" s="13"/>
      <c r="FC29" s="14"/>
      <c r="FD29" s="13"/>
      <c r="FF29" s="13"/>
      <c r="FG29" s="14"/>
      <c r="FH29" s="13"/>
      <c r="FJ29" s="13"/>
      <c r="FK29" s="14"/>
      <c r="FL29" s="13"/>
      <c r="FN29" s="13"/>
      <c r="FO29" s="14"/>
      <c r="FP29" s="13"/>
      <c r="GD29" s="14"/>
      <c r="GE29" s="14"/>
      <c r="GG29" s="14"/>
      <c r="GH29" s="14"/>
      <c r="GJ29" s="14"/>
      <c r="GK29" s="14"/>
      <c r="GM29" s="14"/>
      <c r="GN29" s="14"/>
      <c r="GP29" s="14"/>
      <c r="GQ29" s="14"/>
      <c r="GT29" s="13"/>
      <c r="GU29" s="14"/>
      <c r="HD29" s="13"/>
      <c r="HE29" s="14"/>
      <c r="HF29" s="13"/>
      <c r="HH29" s="13"/>
      <c r="HI29" s="14"/>
      <c r="HJ29" s="13"/>
    </row>
    <row r="30" spans="1:220" ht="15.75" customHeight="1" x14ac:dyDescent="0.15">
      <c r="A30" s="3">
        <v>0</v>
      </c>
      <c r="B30" s="3">
        <v>0</v>
      </c>
      <c r="C30" s="34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N30" s="79" t="s">
        <v>242</v>
      </c>
      <c r="O30" s="60">
        <f>COUNTIF(G:G,11)</f>
        <v>0</v>
      </c>
      <c r="R30" s="53" t="s">
        <v>243</v>
      </c>
      <c r="S30" s="54">
        <f>COUNTIF(D:D,79)</f>
        <v>0</v>
      </c>
      <c r="T30" s="59" t="s">
        <v>1021</v>
      </c>
      <c r="U30" s="59" t="s">
        <v>1022</v>
      </c>
      <c r="V30" s="60">
        <f>COUNTIF(F:F,"=430")</f>
        <v>0</v>
      </c>
      <c r="AD30" s="14"/>
      <c r="AE30" s="14"/>
      <c r="AF30" s="14"/>
      <c r="AG30" s="14"/>
      <c r="AH30" s="14"/>
      <c r="AM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Q30" s="13"/>
      <c r="DR30" s="13"/>
      <c r="DS30" s="14"/>
      <c r="DT30" s="13"/>
      <c r="DU30" s="13"/>
      <c r="DV30" s="14"/>
      <c r="DW30" s="13"/>
      <c r="DX30" s="13"/>
      <c r="DY30" s="58"/>
      <c r="DZ30" s="14"/>
      <c r="EA30" s="13"/>
      <c r="EB30" s="13"/>
      <c r="EC30" s="58"/>
      <c r="ED30" s="14"/>
      <c r="EE30" s="13"/>
      <c r="EF30" s="13"/>
      <c r="EG30" s="58"/>
      <c r="EH30" s="14"/>
      <c r="EI30" s="13"/>
      <c r="EJ30" s="58"/>
      <c r="EK30" s="14"/>
      <c r="EL30" s="13"/>
      <c r="EM30" s="13"/>
      <c r="EN30" s="58"/>
      <c r="EO30" s="14"/>
      <c r="EP30" s="13"/>
      <c r="EQ30" s="13"/>
      <c r="ER30" s="58"/>
      <c r="ES30" s="14"/>
      <c r="ET30" s="13"/>
      <c r="EU30" s="13"/>
      <c r="EV30" s="58"/>
      <c r="EW30" s="14"/>
      <c r="EX30" s="13"/>
      <c r="EY30" s="13"/>
      <c r="EZ30" s="58"/>
      <c r="FA30" s="14"/>
      <c r="FB30" s="13"/>
      <c r="FC30" s="13"/>
      <c r="FD30" s="58"/>
      <c r="FE30" s="14"/>
      <c r="FF30" s="13"/>
      <c r="FG30" s="13"/>
      <c r="FH30" s="58"/>
      <c r="FI30" s="14"/>
      <c r="FJ30" s="13"/>
      <c r="FK30" s="13"/>
      <c r="FL30" s="58"/>
      <c r="FM30" s="14"/>
      <c r="FN30" s="13"/>
      <c r="FO30" s="13"/>
      <c r="FP30" s="58"/>
      <c r="FQ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T30" s="13"/>
      <c r="GU30" s="13"/>
      <c r="GV30" s="14"/>
      <c r="HD30" s="13"/>
      <c r="HE30" s="13"/>
      <c r="HF30" s="58"/>
      <c r="HG30" s="14"/>
      <c r="HH30" s="13"/>
      <c r="HI30" s="13"/>
      <c r="HJ30" s="58"/>
      <c r="HK30" s="14"/>
    </row>
    <row r="31" spans="1:220" ht="15.75" customHeight="1" x14ac:dyDescent="0.15">
      <c r="A31" s="3">
        <v>0</v>
      </c>
      <c r="B31" s="3">
        <v>0</v>
      </c>
      <c r="C31" s="34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N31" s="80" t="s">
        <v>244</v>
      </c>
      <c r="O31" s="60">
        <f>COUNTIF(G:G,12)</f>
        <v>0</v>
      </c>
      <c r="R31" s="53" t="s">
        <v>245</v>
      </c>
      <c r="S31" s="54">
        <f>COUNTIF(D:D,80)</f>
        <v>0</v>
      </c>
      <c r="T31" s="59" t="s">
        <v>246</v>
      </c>
      <c r="U31" s="59" t="s">
        <v>247</v>
      </c>
      <c r="V31" s="60">
        <f>COUNTIF(F:F,"=440")</f>
        <v>1</v>
      </c>
      <c r="AD31" s="14"/>
      <c r="AE31" s="49"/>
      <c r="AF31" s="50"/>
      <c r="AG31" s="14"/>
      <c r="AH31" s="49"/>
      <c r="AK31" s="81"/>
      <c r="AM31" s="14"/>
      <c r="DQ31" s="13"/>
      <c r="DR31" s="14"/>
      <c r="DT31" s="13"/>
      <c r="DU31" s="14"/>
      <c r="DW31" s="13"/>
      <c r="DX31" s="14"/>
      <c r="DY31" s="13"/>
      <c r="EA31" s="13"/>
      <c r="EB31" s="14"/>
      <c r="EC31" s="13"/>
      <c r="EE31" s="13"/>
      <c r="EF31" s="14"/>
      <c r="EG31" s="13"/>
      <c r="EI31" s="13"/>
      <c r="EJ31" s="13"/>
      <c r="EL31" s="13"/>
      <c r="EM31" s="14"/>
      <c r="EN31" s="13"/>
      <c r="EP31" s="13"/>
      <c r="EQ31" s="14"/>
      <c r="ER31" s="13"/>
      <c r="ET31" s="13"/>
      <c r="EU31" s="14"/>
      <c r="EV31" s="13"/>
      <c r="EX31" s="13"/>
      <c r="EY31" s="14"/>
      <c r="EZ31" s="13"/>
      <c r="FB31" s="13"/>
      <c r="FC31" s="14"/>
      <c r="FD31" s="13"/>
      <c r="FF31" s="13"/>
      <c r="FG31" s="14"/>
      <c r="FH31" s="13"/>
      <c r="FJ31" s="13"/>
      <c r="FK31" s="14"/>
      <c r="FL31" s="13"/>
      <c r="FN31" s="13"/>
      <c r="FO31" s="14"/>
      <c r="FP31" s="13"/>
      <c r="GD31" s="14"/>
      <c r="GE31" s="14"/>
      <c r="GG31" s="14"/>
      <c r="GH31" s="14"/>
      <c r="GJ31" s="14"/>
      <c r="GK31" s="14"/>
      <c r="GM31" s="14"/>
      <c r="GN31" s="14"/>
      <c r="GP31" s="14"/>
      <c r="GQ31" s="14"/>
      <c r="GT31" s="13"/>
      <c r="GU31" s="14"/>
      <c r="HD31" s="13"/>
      <c r="HE31" s="14"/>
      <c r="HF31" s="13"/>
      <c r="HH31" s="13"/>
      <c r="HI31" s="14"/>
      <c r="HJ31" s="13"/>
    </row>
    <row r="32" spans="1:220" ht="15.75" customHeight="1" x14ac:dyDescent="0.15">
      <c r="A32" s="3">
        <v>0</v>
      </c>
      <c r="B32" s="3">
        <v>0</v>
      </c>
      <c r="C32" s="34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N32" s="80" t="s">
        <v>248</v>
      </c>
      <c r="O32" s="60">
        <f>COUNTIF(G:G,13)</f>
        <v>0</v>
      </c>
      <c r="R32" s="53" t="s">
        <v>249</v>
      </c>
      <c r="S32" s="54">
        <f>COUNTIF(D:D,81)</f>
        <v>0</v>
      </c>
      <c r="T32" s="59" t="s">
        <v>250</v>
      </c>
      <c r="U32" s="59" t="s">
        <v>251</v>
      </c>
      <c r="V32" s="60">
        <f>COUNTIF(F:F,"=450")</f>
        <v>0</v>
      </c>
      <c r="AD32" s="14"/>
      <c r="AE32" s="14"/>
      <c r="AF32" s="14"/>
      <c r="AG32" s="14"/>
      <c r="AH32" s="14"/>
      <c r="AI32" s="14"/>
      <c r="AJ32" s="14"/>
      <c r="AK32" s="13"/>
      <c r="AL32" s="13"/>
      <c r="AM32" s="14"/>
      <c r="DQ32" s="13"/>
      <c r="DR32" s="13"/>
      <c r="DS32" s="14"/>
      <c r="DT32" s="13"/>
      <c r="DU32" s="13"/>
      <c r="DV32" s="14"/>
      <c r="DW32" s="13"/>
      <c r="DX32" s="13"/>
      <c r="DY32" s="58"/>
      <c r="DZ32" s="14"/>
      <c r="EA32" s="13"/>
      <c r="EB32" s="13"/>
      <c r="EC32" s="58"/>
      <c r="ED32" s="14"/>
      <c r="EE32" s="13"/>
      <c r="EF32" s="13"/>
      <c r="EG32" s="58"/>
      <c r="EH32" s="14"/>
      <c r="EI32" s="13"/>
      <c r="EJ32" s="58"/>
      <c r="EK32" s="14"/>
      <c r="EL32" s="13"/>
      <c r="EM32" s="13"/>
      <c r="EN32" s="58"/>
      <c r="EO32" s="14"/>
      <c r="EP32" s="13"/>
      <c r="EQ32" s="13"/>
      <c r="ER32" s="58"/>
      <c r="ES32" s="14"/>
      <c r="ET32" s="13"/>
      <c r="EU32" s="13"/>
      <c r="EV32" s="58"/>
      <c r="EW32" s="14"/>
      <c r="EX32" s="13"/>
      <c r="EY32" s="13"/>
      <c r="EZ32" s="58"/>
      <c r="FA32" s="14"/>
      <c r="FB32" s="13"/>
      <c r="FC32" s="13"/>
      <c r="FD32" s="58"/>
      <c r="FE32" s="14"/>
      <c r="FF32" s="13"/>
      <c r="FG32" s="13"/>
      <c r="FH32" s="58"/>
      <c r="FI32" s="14"/>
      <c r="FJ32" s="13"/>
      <c r="FK32" s="13"/>
      <c r="FL32" s="58"/>
      <c r="FM32" s="14"/>
      <c r="FN32" s="13"/>
      <c r="FO32" s="13"/>
      <c r="FP32" s="58"/>
      <c r="FQ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66"/>
      <c r="GT32" s="13"/>
      <c r="GU32" s="13"/>
      <c r="GV32" s="14"/>
      <c r="GW32" s="66"/>
      <c r="GX32" s="66"/>
      <c r="GY32" s="66"/>
      <c r="GZ32" s="66"/>
      <c r="HA32" s="66"/>
      <c r="HB32" s="66"/>
      <c r="HC32" s="66"/>
      <c r="HD32" s="13"/>
      <c r="HE32" s="13"/>
      <c r="HF32" s="58"/>
      <c r="HG32" s="14"/>
      <c r="HH32" s="13"/>
      <c r="HI32" s="13"/>
      <c r="HJ32" s="58"/>
      <c r="HK32" s="14"/>
      <c r="HL32" s="66"/>
    </row>
    <row r="33" spans="1:220" ht="15.75" customHeight="1" x14ac:dyDescent="0.15">
      <c r="A33" s="3">
        <v>0</v>
      </c>
      <c r="B33" s="3">
        <v>0</v>
      </c>
      <c r="C33" s="34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N33" s="80" t="s">
        <v>252</v>
      </c>
      <c r="O33" s="60">
        <f>COUNTIF(G:G,14)</f>
        <v>0</v>
      </c>
      <c r="R33" s="53" t="s">
        <v>253</v>
      </c>
      <c r="S33" s="54">
        <f>COUNTIF(D:D,82)</f>
        <v>0</v>
      </c>
      <c r="T33" s="59" t="s">
        <v>254</v>
      </c>
      <c r="U33" s="59" t="s">
        <v>255</v>
      </c>
      <c r="V33" s="60">
        <f>COUNTIF(F:F,"=460")</f>
        <v>1</v>
      </c>
      <c r="AD33" s="14"/>
      <c r="AE33" s="49"/>
      <c r="AF33" s="50"/>
      <c r="AG33" s="14"/>
      <c r="AH33" s="49"/>
      <c r="AI33" s="65"/>
      <c r="AJ33" s="65"/>
      <c r="AK33" s="13"/>
      <c r="AL33" s="13"/>
      <c r="AM33" s="14"/>
      <c r="DQ33" s="13"/>
      <c r="DR33" s="14"/>
      <c r="DT33" s="13"/>
      <c r="DU33" s="14"/>
      <c r="DW33" s="13"/>
      <c r="DX33" s="14"/>
      <c r="DY33" s="13"/>
      <c r="EA33" s="13"/>
      <c r="EB33" s="14"/>
      <c r="EC33" s="13"/>
      <c r="EE33" s="13"/>
      <c r="EF33" s="14"/>
      <c r="EG33" s="13"/>
      <c r="EI33" s="13"/>
      <c r="EJ33" s="13"/>
      <c r="EL33" s="13"/>
      <c r="EM33" s="14"/>
      <c r="EN33" s="13"/>
      <c r="EP33" s="13"/>
      <c r="EQ33" s="14"/>
      <c r="ER33" s="13"/>
      <c r="ET33" s="13"/>
      <c r="EU33" s="14"/>
      <c r="EV33" s="13"/>
      <c r="EX33" s="13"/>
      <c r="EY33" s="14"/>
      <c r="EZ33" s="13"/>
      <c r="FB33" s="13"/>
      <c r="FC33" s="14"/>
      <c r="FD33" s="13"/>
      <c r="FF33" s="13"/>
      <c r="FG33" s="14"/>
      <c r="FH33" s="13"/>
      <c r="FJ33" s="13"/>
      <c r="FK33" s="14"/>
      <c r="FL33" s="13"/>
      <c r="FN33" s="13"/>
      <c r="FO33" s="14"/>
      <c r="FP33" s="13"/>
      <c r="GD33" s="14"/>
      <c r="GE33" s="14"/>
      <c r="GG33" s="14"/>
      <c r="GH33" s="14"/>
      <c r="GJ33" s="14"/>
      <c r="GK33" s="14"/>
      <c r="GM33" s="14"/>
      <c r="GN33" s="14"/>
      <c r="GP33" s="14"/>
      <c r="GQ33" s="14"/>
      <c r="GZ33" s="13"/>
      <c r="HA33" s="14"/>
      <c r="HB33" s="13"/>
      <c r="HD33" s="13"/>
      <c r="HE33" s="14"/>
      <c r="HF33" s="13"/>
      <c r="HH33" s="13"/>
      <c r="HI33" s="14"/>
      <c r="HJ33" s="13"/>
    </row>
    <row r="34" spans="1:220" ht="15.75" customHeight="1" x14ac:dyDescent="0.15">
      <c r="A34" s="3">
        <v>0</v>
      </c>
      <c r="B34" s="3">
        <v>0</v>
      </c>
      <c r="C34" s="34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N34" s="80" t="s">
        <v>256</v>
      </c>
      <c r="O34" s="60">
        <f>COUNTIF(G:G,15)</f>
        <v>1</v>
      </c>
      <c r="R34" s="53" t="s">
        <v>257</v>
      </c>
      <c r="S34" s="54">
        <f>COUNTIF(D:D,83)</f>
        <v>0</v>
      </c>
      <c r="T34" s="59" t="s">
        <v>258</v>
      </c>
      <c r="U34" s="59" t="s">
        <v>259</v>
      </c>
      <c r="V34" s="60">
        <f>COUNTIF(F:F,"=470")</f>
        <v>0</v>
      </c>
      <c r="AD34" s="14"/>
      <c r="AE34" s="14"/>
      <c r="AF34" s="14"/>
      <c r="AG34" s="14"/>
      <c r="AH34" s="14"/>
      <c r="AI34" s="14"/>
      <c r="AJ34" s="14"/>
      <c r="AK34" s="13"/>
      <c r="AL34" s="13"/>
      <c r="AM34" s="14"/>
      <c r="CI34" s="14"/>
      <c r="CJ34" s="49"/>
      <c r="CK34" s="50"/>
      <c r="CL34" s="14"/>
      <c r="CM34" s="49"/>
      <c r="CN34" s="50"/>
      <c r="CO34" s="14"/>
      <c r="CP34" s="49"/>
      <c r="CQ34" s="50"/>
      <c r="CR34" s="14"/>
      <c r="CS34" s="49"/>
      <c r="CT34" s="50"/>
      <c r="CU34" s="14"/>
      <c r="CV34" s="49"/>
      <c r="CW34" s="50"/>
      <c r="CX34" s="14"/>
      <c r="CY34" s="49"/>
      <c r="CZ34" s="50"/>
      <c r="DA34" s="14"/>
      <c r="DB34" s="49"/>
      <c r="DC34" s="50"/>
      <c r="DD34" s="14"/>
      <c r="DE34" s="49"/>
      <c r="DF34" s="50"/>
      <c r="DG34" s="14"/>
      <c r="DH34" s="49"/>
      <c r="DI34" s="50"/>
      <c r="DQ34" s="13"/>
      <c r="DR34" s="13"/>
      <c r="DS34" s="14"/>
      <c r="DT34" s="13"/>
      <c r="DU34" s="13"/>
      <c r="DV34" s="14"/>
      <c r="DW34" s="13"/>
      <c r="DX34" s="13"/>
      <c r="DY34" s="58"/>
      <c r="DZ34" s="14"/>
      <c r="EA34" s="13"/>
      <c r="EB34" s="13"/>
      <c r="EC34" s="58"/>
      <c r="ED34" s="14"/>
      <c r="EE34" s="13"/>
      <c r="EF34" s="13"/>
      <c r="EG34" s="58"/>
      <c r="EH34" s="14"/>
      <c r="EI34" s="13"/>
      <c r="EJ34" s="58"/>
      <c r="EK34" s="14"/>
      <c r="EL34" s="13"/>
      <c r="EM34" s="13"/>
      <c r="EN34" s="58"/>
      <c r="EO34" s="14"/>
      <c r="EP34" s="13"/>
      <c r="EQ34" s="13"/>
      <c r="ER34" s="58"/>
      <c r="ES34" s="14"/>
      <c r="ET34" s="13"/>
      <c r="EU34" s="13"/>
      <c r="EV34" s="58"/>
      <c r="EW34" s="14"/>
      <c r="EX34" s="13"/>
      <c r="EY34" s="13"/>
      <c r="EZ34" s="58"/>
      <c r="FA34" s="14"/>
      <c r="FB34" s="13"/>
      <c r="FC34" s="13"/>
      <c r="FD34" s="58"/>
      <c r="FE34" s="14"/>
      <c r="FF34" s="13"/>
      <c r="FG34" s="13"/>
      <c r="FH34" s="58"/>
      <c r="FI34" s="14"/>
      <c r="FJ34" s="13"/>
      <c r="FK34" s="13"/>
      <c r="FL34" s="58"/>
      <c r="FM34" s="14"/>
      <c r="FN34" s="13"/>
      <c r="FO34" s="13"/>
      <c r="FP34" s="58"/>
      <c r="FQ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Z34" s="13"/>
      <c r="HA34" s="13"/>
      <c r="HB34" s="58"/>
      <c r="HC34" s="14"/>
      <c r="HD34" s="13"/>
      <c r="HE34" s="13"/>
      <c r="HF34" s="58"/>
      <c r="HG34" s="14"/>
      <c r="HH34" s="13"/>
      <c r="HI34" s="13"/>
      <c r="HJ34" s="58"/>
      <c r="HK34" s="14"/>
    </row>
    <row r="35" spans="1:220" ht="15.75" customHeight="1" x14ac:dyDescent="0.15">
      <c r="A35" s="3">
        <v>0</v>
      </c>
      <c r="B35" s="3">
        <v>0</v>
      </c>
      <c r="C35" s="34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N35" s="82" t="s">
        <v>260</v>
      </c>
      <c r="O35" s="60">
        <f>COUNTIF(G:G,20)</f>
        <v>0</v>
      </c>
      <c r="R35" s="53" t="s">
        <v>261</v>
      </c>
      <c r="S35" s="54">
        <f>COUNTIF(D:D,84)</f>
        <v>0</v>
      </c>
      <c r="T35" s="1" t="s">
        <v>262</v>
      </c>
      <c r="U35" s="1"/>
      <c r="V35" s="55"/>
      <c r="AD35" s="14"/>
      <c r="AE35" s="49"/>
      <c r="AF35" s="50"/>
      <c r="AG35" s="14"/>
      <c r="AH35" s="49"/>
      <c r="AI35" s="65"/>
      <c r="AJ35" s="65"/>
      <c r="AK35" s="13"/>
      <c r="AL35" s="13"/>
      <c r="AM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Q35" s="13"/>
      <c r="DR35" s="14"/>
      <c r="DT35" s="13"/>
      <c r="DU35" s="14"/>
      <c r="DW35" s="13"/>
      <c r="DX35" s="14"/>
      <c r="DY35" s="13"/>
      <c r="EA35" s="13"/>
      <c r="EB35" s="14"/>
      <c r="EC35" s="13"/>
      <c r="EE35" s="13"/>
      <c r="EF35" s="14"/>
      <c r="EG35" s="13"/>
      <c r="EI35" s="13"/>
      <c r="EJ35" s="13"/>
      <c r="EL35" s="13"/>
      <c r="EM35" s="14"/>
      <c r="EN35" s="13"/>
      <c r="EP35" s="13"/>
      <c r="EQ35" s="14"/>
      <c r="ER35" s="13"/>
      <c r="ET35" s="13"/>
      <c r="EU35" s="14"/>
      <c r="EV35" s="13"/>
      <c r="EX35" s="13"/>
      <c r="EY35" s="14"/>
      <c r="EZ35" s="13"/>
      <c r="FB35" s="13"/>
      <c r="FC35" s="14"/>
      <c r="FD35" s="13"/>
      <c r="FF35" s="13"/>
      <c r="FG35" s="14"/>
      <c r="FH35" s="13"/>
      <c r="FJ35" s="13"/>
      <c r="FK35" s="14"/>
      <c r="FL35" s="13"/>
      <c r="FN35" s="13"/>
      <c r="FO35" s="14"/>
      <c r="FP35" s="13"/>
      <c r="GD35" s="14"/>
      <c r="GE35" s="14"/>
      <c r="GG35" s="14"/>
      <c r="GH35" s="14"/>
      <c r="GJ35" s="14"/>
      <c r="GK35" s="14"/>
      <c r="GM35" s="14"/>
      <c r="GN35" s="14"/>
      <c r="GP35" s="14"/>
      <c r="GQ35" s="14"/>
      <c r="GZ35" s="13"/>
      <c r="HA35" s="14"/>
      <c r="HB35" s="13"/>
      <c r="HD35" s="13"/>
      <c r="HE35" s="14"/>
      <c r="HF35" s="13"/>
      <c r="HH35" s="13"/>
      <c r="HI35" s="14"/>
      <c r="HJ35" s="13"/>
    </row>
    <row r="36" spans="1:220" ht="15.75" customHeight="1" x14ac:dyDescent="0.15">
      <c r="A36" s="3">
        <v>0</v>
      </c>
      <c r="B36" s="3">
        <v>0</v>
      </c>
      <c r="C36" s="34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N36" s="82" t="s">
        <v>263</v>
      </c>
      <c r="O36" s="60">
        <f>COUNTIF(G:G,30)</f>
        <v>2</v>
      </c>
      <c r="R36" s="53" t="s">
        <v>264</v>
      </c>
      <c r="S36" s="54">
        <f>COUNTIF(D:D,85)</f>
        <v>0</v>
      </c>
      <c r="T36" s="59" t="s">
        <v>265</v>
      </c>
      <c r="U36" s="59" t="s">
        <v>266</v>
      </c>
      <c r="V36" s="60">
        <f>COUNTIF(F:F,"=510")</f>
        <v>0</v>
      </c>
      <c r="AD36" s="14"/>
      <c r="AE36" s="14"/>
      <c r="AF36" s="14"/>
      <c r="AG36" s="14"/>
      <c r="AH36" s="14"/>
      <c r="AI36" s="14"/>
      <c r="AJ36" s="14"/>
      <c r="AK36" s="13"/>
      <c r="AL36" s="13"/>
      <c r="AM36" s="14"/>
      <c r="CI36" s="14"/>
      <c r="CJ36" s="49"/>
      <c r="CK36" s="50"/>
      <c r="CL36" s="14"/>
      <c r="CM36" s="49"/>
      <c r="CN36" s="50"/>
      <c r="CO36" s="14"/>
      <c r="CP36" s="49"/>
      <c r="CQ36" s="50"/>
      <c r="CR36" s="14"/>
      <c r="CS36" s="49"/>
      <c r="CT36" s="50"/>
      <c r="CU36" s="14"/>
      <c r="CV36" s="49"/>
      <c r="CW36" s="50"/>
      <c r="CX36" s="14"/>
      <c r="CY36" s="49"/>
      <c r="CZ36" s="50"/>
      <c r="DA36" s="14"/>
      <c r="DB36" s="49"/>
      <c r="DC36" s="50"/>
      <c r="DD36" s="14"/>
      <c r="DE36" s="49"/>
      <c r="DF36" s="50"/>
      <c r="DG36" s="14"/>
      <c r="DH36" s="49"/>
      <c r="DI36" s="50"/>
      <c r="DQ36" s="13"/>
      <c r="DR36" s="13"/>
      <c r="DS36" s="14"/>
      <c r="DT36" s="13"/>
      <c r="DU36" s="13"/>
      <c r="DV36" s="14"/>
      <c r="DW36" s="13"/>
      <c r="DX36" s="13"/>
      <c r="DY36" s="58"/>
      <c r="DZ36" s="14"/>
      <c r="EA36" s="13"/>
      <c r="EB36" s="13"/>
      <c r="EC36" s="58"/>
      <c r="ED36" s="14"/>
      <c r="EE36" s="13"/>
      <c r="EF36" s="13"/>
      <c r="EG36" s="58"/>
      <c r="EH36" s="14"/>
      <c r="EI36" s="13"/>
      <c r="EJ36" s="58"/>
      <c r="EK36" s="14"/>
      <c r="EL36" s="13"/>
      <c r="EM36" s="13"/>
      <c r="EN36" s="58"/>
      <c r="EO36" s="14"/>
      <c r="EP36" s="13"/>
      <c r="EQ36" s="13"/>
      <c r="ER36" s="58"/>
      <c r="ES36" s="14"/>
      <c r="ET36" s="13"/>
      <c r="EU36" s="13"/>
      <c r="EV36" s="58"/>
      <c r="EW36" s="14"/>
      <c r="EX36" s="13"/>
      <c r="EY36" s="13"/>
      <c r="EZ36" s="58"/>
      <c r="FA36" s="14"/>
      <c r="FB36" s="13"/>
      <c r="FC36" s="13"/>
      <c r="FD36" s="58"/>
      <c r="FE36" s="14"/>
      <c r="FF36" s="13"/>
      <c r="FG36" s="13"/>
      <c r="FH36" s="58"/>
      <c r="FI36" s="14"/>
      <c r="FJ36" s="13"/>
      <c r="FK36" s="13"/>
      <c r="FL36" s="58"/>
      <c r="FM36" s="14"/>
      <c r="FN36" s="13"/>
      <c r="FO36" s="13"/>
      <c r="FP36" s="58"/>
      <c r="FQ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Z36" s="13"/>
      <c r="HA36" s="13"/>
      <c r="HB36" s="58"/>
      <c r="HC36" s="14"/>
      <c r="HD36" s="13"/>
      <c r="HE36" s="13"/>
      <c r="HF36" s="58"/>
      <c r="HG36" s="14"/>
      <c r="HH36" s="13"/>
      <c r="HI36" s="13"/>
      <c r="HJ36" s="58"/>
      <c r="HK36" s="14"/>
    </row>
    <row r="37" spans="1:220" ht="15.75" customHeight="1" x14ac:dyDescent="0.15">
      <c r="A37" s="3">
        <v>0</v>
      </c>
      <c r="B37" s="3">
        <v>0</v>
      </c>
      <c r="C37" s="34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N37" s="80" t="s">
        <v>267</v>
      </c>
      <c r="O37" s="60">
        <f>COUNTIF(G:G,31)</f>
        <v>0</v>
      </c>
      <c r="R37" s="53" t="s">
        <v>268</v>
      </c>
      <c r="S37" s="54">
        <f>COUNTIF(D:D,86)</f>
        <v>1</v>
      </c>
      <c r="T37" s="59" t="s">
        <v>269</v>
      </c>
      <c r="U37" s="59" t="s">
        <v>270</v>
      </c>
      <c r="V37" s="60">
        <f>COUNTIF(F:F,"=520")</f>
        <v>0</v>
      </c>
      <c r="AD37" s="14"/>
      <c r="AE37" s="49"/>
      <c r="AF37" s="50"/>
      <c r="AG37" s="14"/>
      <c r="AH37" s="49"/>
      <c r="AI37" s="65"/>
      <c r="AJ37" s="65"/>
      <c r="AK37" s="13"/>
      <c r="AL37" s="13"/>
      <c r="AM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Q37" s="13"/>
      <c r="DR37" s="14"/>
      <c r="DT37" s="13"/>
      <c r="DU37" s="14"/>
      <c r="DW37" s="13"/>
      <c r="DX37" s="14"/>
      <c r="DY37" s="13"/>
      <c r="EA37" s="13"/>
      <c r="EB37" s="14"/>
      <c r="EC37" s="13"/>
      <c r="EE37" s="13"/>
      <c r="EF37" s="14"/>
      <c r="EG37" s="13"/>
      <c r="EI37" s="13"/>
      <c r="EJ37" s="13"/>
      <c r="EL37" s="13"/>
      <c r="EM37" s="14"/>
      <c r="EN37" s="13"/>
      <c r="EP37" s="13"/>
      <c r="EQ37" s="14"/>
      <c r="ER37" s="13"/>
      <c r="ET37" s="13"/>
      <c r="EU37" s="14"/>
      <c r="EV37" s="13"/>
      <c r="EX37" s="13"/>
      <c r="EY37" s="14"/>
      <c r="EZ37" s="13"/>
      <c r="FB37" s="13"/>
      <c r="FC37" s="14"/>
      <c r="FD37" s="13"/>
      <c r="FF37" s="13"/>
      <c r="FG37" s="14"/>
      <c r="FH37" s="13"/>
      <c r="FJ37" s="13"/>
      <c r="FK37" s="14"/>
      <c r="FL37" s="13"/>
      <c r="FN37" s="13"/>
      <c r="FO37" s="14"/>
      <c r="FP37" s="13"/>
      <c r="GD37" s="14"/>
      <c r="GE37" s="14"/>
      <c r="GG37" s="14"/>
      <c r="GH37" s="14"/>
      <c r="GJ37" s="14"/>
      <c r="GK37" s="14"/>
      <c r="GM37" s="14"/>
      <c r="GN37" s="14"/>
      <c r="GP37" s="14"/>
      <c r="GQ37" s="14"/>
      <c r="GZ37" s="13"/>
      <c r="HA37" s="14"/>
      <c r="HB37" s="13"/>
      <c r="HD37" s="13"/>
      <c r="HE37" s="14"/>
      <c r="HF37" s="13"/>
      <c r="HH37" s="13"/>
      <c r="HI37" s="14"/>
      <c r="HJ37" s="13"/>
    </row>
    <row r="38" spans="1:220" ht="15.75" customHeight="1" x14ac:dyDescent="0.15">
      <c r="A38" s="3">
        <v>0</v>
      </c>
      <c r="B38" s="3">
        <v>0</v>
      </c>
      <c r="C38" s="34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N38" s="80" t="s">
        <v>271</v>
      </c>
      <c r="O38" s="60">
        <f>COUNTIF(G:G,32)</f>
        <v>0</v>
      </c>
      <c r="R38" s="53" t="s">
        <v>272</v>
      </c>
      <c r="S38" s="54">
        <f>COUNTIF(D:D,87)</f>
        <v>0</v>
      </c>
      <c r="T38" s="59" t="s">
        <v>273</v>
      </c>
      <c r="U38" s="59" t="s">
        <v>274</v>
      </c>
      <c r="V38" s="60">
        <f>COUNTIF(F:F,"=530")</f>
        <v>0</v>
      </c>
      <c r="AD38" s="14"/>
      <c r="AE38" s="14"/>
      <c r="AF38" s="14"/>
      <c r="AG38" s="14"/>
      <c r="AH38" s="14"/>
      <c r="AI38" s="14"/>
      <c r="AJ38" s="14"/>
      <c r="AK38" s="13"/>
      <c r="AL38" s="13"/>
      <c r="AM38" s="14"/>
      <c r="CI38" s="14"/>
      <c r="CJ38" s="49"/>
      <c r="CK38" s="50"/>
      <c r="CL38" s="14"/>
      <c r="CM38" s="49"/>
      <c r="CN38" s="50"/>
      <c r="CO38" s="14"/>
      <c r="CP38" s="49"/>
      <c r="CQ38" s="50"/>
      <c r="CR38" s="14"/>
      <c r="CS38" s="49"/>
      <c r="CT38" s="50"/>
      <c r="CU38" s="14"/>
      <c r="CV38" s="49"/>
      <c r="CW38" s="50"/>
      <c r="CX38" s="14"/>
      <c r="CY38" s="49"/>
      <c r="CZ38" s="50"/>
      <c r="DA38" s="14"/>
      <c r="DB38" s="49"/>
      <c r="DC38" s="50"/>
      <c r="DD38" s="14"/>
      <c r="DE38" s="49"/>
      <c r="DF38" s="50"/>
      <c r="DG38" s="14"/>
      <c r="DH38" s="49"/>
      <c r="DI38" s="50"/>
      <c r="DQ38" s="13"/>
      <c r="DR38" s="13"/>
      <c r="DS38" s="14"/>
      <c r="DT38" s="13"/>
      <c r="DU38" s="13"/>
      <c r="DV38" s="14"/>
      <c r="DW38" s="13"/>
      <c r="DX38" s="13"/>
      <c r="DY38" s="58"/>
      <c r="DZ38" s="14"/>
      <c r="EA38" s="13"/>
      <c r="EB38" s="13"/>
      <c r="EC38" s="58"/>
      <c r="ED38" s="14"/>
      <c r="EE38" s="13"/>
      <c r="EF38" s="13"/>
      <c r="EG38" s="58"/>
      <c r="EH38" s="14"/>
      <c r="EI38" s="13"/>
      <c r="EJ38" s="58"/>
      <c r="EK38" s="14"/>
      <c r="EL38" s="13"/>
      <c r="EM38" s="13"/>
      <c r="EN38" s="58"/>
      <c r="EO38" s="14"/>
      <c r="EP38" s="13"/>
      <c r="EQ38" s="13"/>
      <c r="ER38" s="58"/>
      <c r="ES38" s="14"/>
      <c r="ET38" s="13"/>
      <c r="EU38" s="13"/>
      <c r="EV38" s="58"/>
      <c r="EW38" s="14"/>
      <c r="EX38" s="13"/>
      <c r="EY38" s="13"/>
      <c r="EZ38" s="58"/>
      <c r="FA38" s="14"/>
      <c r="FB38" s="13"/>
      <c r="FC38" s="13"/>
      <c r="FD38" s="58"/>
      <c r="FE38" s="14"/>
      <c r="FF38" s="13"/>
      <c r="FG38" s="13"/>
      <c r="FH38" s="58"/>
      <c r="FI38" s="14"/>
      <c r="FJ38" s="13"/>
      <c r="FK38" s="13"/>
      <c r="FL38" s="58"/>
      <c r="FM38" s="14"/>
      <c r="FN38" s="13"/>
      <c r="FO38" s="13"/>
      <c r="FP38" s="58"/>
      <c r="FQ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Z38" s="13"/>
      <c r="HA38" s="13"/>
      <c r="HB38" s="58"/>
      <c r="HC38" s="14"/>
      <c r="HD38" s="13"/>
      <c r="HE38" s="13"/>
      <c r="HF38" s="58"/>
      <c r="HG38" s="14"/>
      <c r="HH38" s="13"/>
      <c r="HI38" s="13"/>
      <c r="HJ38" s="58"/>
      <c r="HK38" s="14"/>
    </row>
    <row r="39" spans="1:220" ht="15.75" customHeight="1" x14ac:dyDescent="0.15">
      <c r="A39" s="3">
        <v>0</v>
      </c>
      <c r="B39" s="3">
        <v>0</v>
      </c>
      <c r="C39" s="34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N39" s="80" t="s">
        <v>275</v>
      </c>
      <c r="O39" s="60">
        <f>COUNTIF(G:G,33)</f>
        <v>0</v>
      </c>
      <c r="R39" s="53" t="s">
        <v>276</v>
      </c>
      <c r="S39" s="54">
        <f>COUNTIF(D:D,88)</f>
        <v>0</v>
      </c>
      <c r="T39" s="59" t="s">
        <v>277</v>
      </c>
      <c r="U39" s="59" t="s">
        <v>278</v>
      </c>
      <c r="V39" s="60">
        <f>COUNTIF(F:F,"=540")</f>
        <v>0</v>
      </c>
      <c r="AD39" s="14"/>
      <c r="AE39" s="49"/>
      <c r="AF39" s="50"/>
      <c r="AG39" s="14"/>
      <c r="AH39" s="49"/>
      <c r="AI39" s="65"/>
      <c r="AJ39" s="65"/>
      <c r="AK39" s="13"/>
      <c r="AL39" s="13"/>
      <c r="AM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Q39" s="13"/>
      <c r="DR39" s="14"/>
      <c r="DT39" s="13"/>
      <c r="DU39" s="14"/>
      <c r="DW39" s="13"/>
      <c r="DX39" s="14"/>
      <c r="DY39" s="13"/>
      <c r="EA39" s="13"/>
      <c r="EB39" s="14"/>
      <c r="EC39" s="13"/>
      <c r="EE39" s="13"/>
      <c r="EF39" s="14"/>
      <c r="EG39" s="13"/>
      <c r="EI39" s="13"/>
      <c r="EJ39" s="13"/>
      <c r="EL39" s="13"/>
      <c r="EM39" s="14"/>
      <c r="EN39" s="13"/>
      <c r="EP39" s="13"/>
      <c r="EQ39" s="14"/>
      <c r="ER39" s="13"/>
      <c r="ET39" s="13"/>
      <c r="EU39" s="14"/>
      <c r="EV39" s="13"/>
      <c r="EX39" s="13"/>
      <c r="EY39" s="14"/>
      <c r="EZ39" s="13"/>
      <c r="FB39" s="13"/>
      <c r="FC39" s="14"/>
      <c r="FD39" s="13"/>
      <c r="FF39" s="13"/>
      <c r="FG39" s="14"/>
      <c r="FH39" s="13"/>
      <c r="FJ39" s="13"/>
      <c r="FK39" s="14"/>
      <c r="FL39" s="13"/>
      <c r="FN39" s="13"/>
      <c r="FO39" s="14"/>
      <c r="FP39" s="13"/>
      <c r="GD39" s="14"/>
      <c r="GE39" s="14"/>
      <c r="GG39" s="14"/>
      <c r="GH39" s="14"/>
      <c r="GJ39" s="14"/>
      <c r="GK39" s="14"/>
      <c r="GM39" s="14"/>
      <c r="GN39" s="14"/>
      <c r="GP39" s="14"/>
      <c r="GQ39" s="14"/>
      <c r="GZ39" s="13"/>
      <c r="HA39" s="14"/>
      <c r="HB39" s="13"/>
      <c r="HD39" s="13"/>
      <c r="HE39" s="14"/>
      <c r="HF39" s="13"/>
      <c r="HH39" s="13"/>
      <c r="HI39" s="14"/>
      <c r="HJ39" s="13"/>
    </row>
    <row r="40" spans="1:220" ht="15.75" customHeight="1" x14ac:dyDescent="0.15">
      <c r="A40" s="3">
        <v>0</v>
      </c>
      <c r="B40" s="3">
        <v>0</v>
      </c>
      <c r="C40" s="34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N40" s="80" t="s">
        <v>279</v>
      </c>
      <c r="O40" s="60">
        <f>COUNTIF(G:G,34)</f>
        <v>0</v>
      </c>
      <c r="R40" s="53" t="s">
        <v>280</v>
      </c>
      <c r="S40" s="54">
        <f>COUNTIF(D:D,89)</f>
        <v>0</v>
      </c>
      <c r="T40" s="59" t="s">
        <v>281</v>
      </c>
      <c r="U40" s="59" t="s">
        <v>282</v>
      </c>
      <c r="V40" s="60">
        <f>COUNTIF(F:F,"=550")</f>
        <v>0</v>
      </c>
      <c r="AD40" s="14"/>
      <c r="AE40" s="14"/>
      <c r="AF40" s="14"/>
      <c r="AG40" s="14"/>
      <c r="AH40" s="14"/>
      <c r="AI40" s="14"/>
      <c r="AJ40" s="14"/>
      <c r="AK40" s="13"/>
      <c r="AL40" s="13"/>
      <c r="AM40" s="14"/>
      <c r="CI40" s="14"/>
      <c r="CJ40" s="49"/>
      <c r="CK40" s="50"/>
      <c r="CL40" s="14"/>
      <c r="CM40" s="49"/>
      <c r="CN40" s="50"/>
      <c r="CO40" s="14"/>
      <c r="CP40" s="49"/>
      <c r="CQ40" s="50"/>
      <c r="CR40" s="14"/>
      <c r="CS40" s="49"/>
      <c r="CT40" s="50"/>
      <c r="CU40" s="14"/>
      <c r="CV40" s="49"/>
      <c r="CW40" s="50"/>
      <c r="CX40" s="14"/>
      <c r="CY40" s="49"/>
      <c r="CZ40" s="50"/>
      <c r="DA40" s="14"/>
      <c r="DB40" s="49"/>
      <c r="DC40" s="50"/>
      <c r="DD40" s="14"/>
      <c r="DE40" s="49"/>
      <c r="DF40" s="50"/>
      <c r="DG40" s="14"/>
      <c r="DH40" s="49"/>
      <c r="DI40" s="50"/>
      <c r="DQ40" s="13"/>
      <c r="DR40" s="13"/>
      <c r="DS40" s="14"/>
      <c r="DT40" s="13"/>
      <c r="DU40" s="13"/>
      <c r="DV40" s="14"/>
      <c r="DW40" s="13"/>
      <c r="DX40" s="13"/>
      <c r="DY40" s="58"/>
      <c r="DZ40" s="14"/>
      <c r="EA40" s="13"/>
      <c r="EB40" s="13"/>
      <c r="EC40" s="58"/>
      <c r="ED40" s="14"/>
      <c r="EE40" s="13"/>
      <c r="EF40" s="13"/>
      <c r="EG40" s="58"/>
      <c r="EH40" s="14"/>
      <c r="EI40" s="13"/>
      <c r="EJ40" s="58"/>
      <c r="EK40" s="14"/>
      <c r="EL40" s="13"/>
      <c r="EM40" s="13"/>
      <c r="EN40" s="58"/>
      <c r="EO40" s="14"/>
      <c r="EP40" s="13"/>
      <c r="EQ40" s="13"/>
      <c r="ER40" s="58"/>
      <c r="ES40" s="14"/>
      <c r="ET40" s="13"/>
      <c r="EU40" s="13"/>
      <c r="EV40" s="58"/>
      <c r="EW40" s="14"/>
      <c r="EX40" s="13"/>
      <c r="EY40" s="13"/>
      <c r="EZ40" s="58"/>
      <c r="FA40" s="14"/>
      <c r="FB40" s="13"/>
      <c r="FC40" s="13"/>
      <c r="FD40" s="58"/>
      <c r="FE40" s="14"/>
      <c r="FF40" s="13"/>
      <c r="FG40" s="13"/>
      <c r="FH40" s="58"/>
      <c r="FI40" s="14"/>
      <c r="FJ40" s="13"/>
      <c r="FK40" s="13"/>
      <c r="FL40" s="58"/>
      <c r="FM40" s="14"/>
      <c r="FN40" s="13"/>
      <c r="FO40" s="13"/>
      <c r="FP40" s="58"/>
      <c r="FQ40" s="14"/>
      <c r="GD40" s="14"/>
      <c r="GE40" s="14"/>
      <c r="GF40" s="14"/>
      <c r="GG40" s="14"/>
      <c r="GH40" s="14"/>
      <c r="GI40" s="14"/>
      <c r="GJ40" s="14"/>
      <c r="GK40" s="14"/>
      <c r="GL40" s="14"/>
      <c r="GM40" s="14"/>
      <c r="GN40" s="14"/>
      <c r="GO40" s="14"/>
      <c r="GP40" s="14"/>
      <c r="GQ40" s="14"/>
      <c r="GR40" s="14"/>
      <c r="GZ40" s="13"/>
      <c r="HA40" s="13"/>
      <c r="HB40" s="58"/>
      <c r="HC40" s="14"/>
      <c r="HD40" s="13"/>
      <c r="HE40" s="13"/>
      <c r="HF40" s="58"/>
      <c r="HG40" s="14"/>
      <c r="HH40" s="13"/>
      <c r="HI40" s="13"/>
      <c r="HJ40" s="58"/>
      <c r="HK40" s="14"/>
    </row>
    <row r="41" spans="1:220" ht="15.75" customHeight="1" x14ac:dyDescent="0.15">
      <c r="A41" s="3">
        <v>0</v>
      </c>
      <c r="B41" s="3">
        <v>0</v>
      </c>
      <c r="C41" s="34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N41" s="80" t="s">
        <v>283</v>
      </c>
      <c r="O41" s="60">
        <f>COUNTIF(G:G,35)</f>
        <v>0</v>
      </c>
      <c r="R41" s="53" t="s">
        <v>284</v>
      </c>
      <c r="S41" s="54">
        <f>COUNTIF(D:D,90)</f>
        <v>0</v>
      </c>
      <c r="T41" s="59" t="s">
        <v>285</v>
      </c>
      <c r="U41" s="59" t="s">
        <v>286</v>
      </c>
      <c r="V41" s="60">
        <f>COUNTIF(F:F,"=560")</f>
        <v>0</v>
      </c>
      <c r="AD41" s="14"/>
      <c r="AE41" s="49"/>
      <c r="AF41" s="50"/>
      <c r="AG41" s="14"/>
      <c r="AH41" s="49"/>
      <c r="AI41" s="65"/>
      <c r="AJ41" s="65"/>
      <c r="AK41" s="13"/>
      <c r="AL41" s="13"/>
      <c r="AM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Q41" s="13"/>
      <c r="DR41" s="14"/>
      <c r="DT41" s="13"/>
      <c r="DU41" s="14"/>
      <c r="DW41" s="13"/>
      <c r="DX41" s="14"/>
      <c r="DY41" s="13"/>
      <c r="EA41" s="13"/>
      <c r="EB41" s="14"/>
      <c r="EC41" s="13"/>
      <c r="EE41" s="13"/>
      <c r="EF41" s="14"/>
      <c r="EG41" s="13"/>
      <c r="EI41" s="13"/>
      <c r="EJ41" s="13"/>
      <c r="EL41" s="13"/>
      <c r="EM41" s="14"/>
      <c r="EN41" s="13"/>
      <c r="EP41" s="13"/>
      <c r="EQ41" s="14"/>
      <c r="ER41" s="13"/>
      <c r="ET41" s="13"/>
      <c r="EU41" s="14"/>
      <c r="EV41" s="13"/>
      <c r="EX41" s="13"/>
      <c r="EY41" s="14"/>
      <c r="EZ41" s="13"/>
      <c r="FB41" s="13"/>
      <c r="FC41" s="14"/>
      <c r="FD41" s="13"/>
      <c r="FF41" s="13"/>
      <c r="FG41" s="14"/>
      <c r="FH41" s="13"/>
      <c r="FJ41" s="13"/>
      <c r="FK41" s="14"/>
      <c r="FL41" s="13"/>
      <c r="FN41" s="13"/>
      <c r="FO41" s="14"/>
      <c r="FP41" s="13"/>
      <c r="GD41" s="14"/>
      <c r="GE41" s="14"/>
      <c r="GG41" s="14"/>
      <c r="GH41" s="14"/>
      <c r="GJ41" s="14"/>
      <c r="GK41" s="14"/>
      <c r="GM41" s="14"/>
      <c r="GN41" s="14"/>
      <c r="GP41" s="14"/>
      <c r="GQ41" s="14"/>
      <c r="GZ41" s="13"/>
      <c r="HA41" s="14"/>
      <c r="HB41" s="13"/>
      <c r="HD41" s="13"/>
      <c r="HE41" s="14"/>
      <c r="HF41" s="13"/>
      <c r="HH41" s="13"/>
      <c r="HI41" s="14"/>
      <c r="HJ41" s="13"/>
    </row>
    <row r="42" spans="1:220" ht="15.75" customHeight="1" x14ac:dyDescent="0.15">
      <c r="A42" s="3">
        <v>0</v>
      </c>
      <c r="B42" s="3">
        <v>0</v>
      </c>
      <c r="C42" s="34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N42" s="82" t="s">
        <v>287</v>
      </c>
      <c r="O42" s="60">
        <f>COUNTIF(G:G,36)</f>
        <v>0</v>
      </c>
      <c r="R42" s="53" t="s">
        <v>288</v>
      </c>
      <c r="S42" s="54">
        <f>COUNTIF(D:D,91)</f>
        <v>0</v>
      </c>
      <c r="T42" s="59" t="s">
        <v>289</v>
      </c>
      <c r="U42" s="59" t="s">
        <v>290</v>
      </c>
      <c r="V42" s="60">
        <f>COUNTIF(F:F,"=570")</f>
        <v>0</v>
      </c>
      <c r="AD42" s="14"/>
      <c r="AE42" s="14"/>
      <c r="AF42" s="14"/>
      <c r="AG42" s="14"/>
      <c r="AH42" s="14"/>
      <c r="AI42" s="14"/>
      <c r="AJ42" s="14"/>
      <c r="AK42" s="13"/>
      <c r="AL42" s="13"/>
      <c r="AM42" s="14"/>
      <c r="CI42" s="14"/>
      <c r="CJ42" s="49"/>
      <c r="CK42" s="50"/>
      <c r="CL42" s="14"/>
      <c r="CM42" s="49"/>
      <c r="CN42" s="50"/>
      <c r="CO42" s="14"/>
      <c r="CP42" s="49"/>
      <c r="CQ42" s="50"/>
      <c r="CR42" s="14"/>
      <c r="CS42" s="49"/>
      <c r="CT42" s="50"/>
      <c r="CU42" s="14"/>
      <c r="CV42" s="49"/>
      <c r="CW42" s="50"/>
      <c r="CX42" s="14"/>
      <c r="CY42" s="49"/>
      <c r="CZ42" s="50"/>
      <c r="DA42" s="14"/>
      <c r="DB42" s="49"/>
      <c r="DC42" s="50"/>
      <c r="DD42" s="14"/>
      <c r="DE42" s="49"/>
      <c r="DF42" s="50"/>
      <c r="DG42" s="14"/>
      <c r="DH42" s="49"/>
      <c r="DI42" s="50"/>
      <c r="DQ42" s="13"/>
      <c r="DR42" s="13"/>
      <c r="DS42" s="14"/>
      <c r="DT42" s="13"/>
      <c r="DU42" s="13"/>
      <c r="DV42" s="14"/>
      <c r="DW42" s="13"/>
      <c r="DX42" s="13"/>
      <c r="DY42" s="58"/>
      <c r="DZ42" s="14"/>
      <c r="EA42" s="13"/>
      <c r="EB42" s="13"/>
      <c r="EC42" s="58"/>
      <c r="ED42" s="14"/>
      <c r="EE42" s="13"/>
      <c r="EF42" s="13"/>
      <c r="EG42" s="58"/>
      <c r="EH42" s="14"/>
      <c r="EI42" s="13"/>
      <c r="EJ42" s="58"/>
      <c r="EK42" s="14"/>
      <c r="EL42" s="13"/>
      <c r="EM42" s="13"/>
      <c r="EN42" s="58"/>
      <c r="EO42" s="14"/>
      <c r="EP42" s="13"/>
      <c r="EQ42" s="13"/>
      <c r="ER42" s="58"/>
      <c r="ES42" s="14"/>
      <c r="ET42" s="13"/>
      <c r="EU42" s="13"/>
      <c r="EV42" s="58"/>
      <c r="EW42" s="14"/>
      <c r="EX42" s="13"/>
      <c r="EY42" s="13"/>
      <c r="EZ42" s="58"/>
      <c r="FA42" s="14"/>
      <c r="FB42" s="13"/>
      <c r="FC42" s="13"/>
      <c r="FD42" s="58"/>
      <c r="FE42" s="14"/>
      <c r="FF42" s="13"/>
      <c r="FG42" s="13"/>
      <c r="FH42" s="58"/>
      <c r="FI42" s="14"/>
      <c r="FJ42" s="13"/>
      <c r="FK42" s="13"/>
      <c r="FL42" s="58"/>
      <c r="FM42" s="14"/>
      <c r="FN42" s="13"/>
      <c r="FO42" s="13"/>
      <c r="FP42" s="58"/>
      <c r="FQ42" s="14"/>
      <c r="GD42" s="14"/>
      <c r="GE42" s="14"/>
      <c r="GF42" s="14"/>
      <c r="GG42" s="14"/>
      <c r="GH42" s="14"/>
      <c r="GI42" s="14"/>
      <c r="GJ42" s="14"/>
      <c r="GK42" s="14"/>
      <c r="GL42" s="14"/>
      <c r="GM42" s="14"/>
      <c r="GN42" s="14"/>
      <c r="GO42" s="14"/>
      <c r="GP42" s="14"/>
      <c r="GQ42" s="14"/>
      <c r="GR42" s="14"/>
      <c r="GZ42" s="13"/>
      <c r="HA42" s="13"/>
      <c r="HB42" s="58"/>
      <c r="HC42" s="14"/>
      <c r="HD42" s="13"/>
      <c r="HE42" s="13"/>
      <c r="HF42" s="58"/>
      <c r="HG42" s="14"/>
      <c r="HH42" s="13"/>
      <c r="HI42" s="13"/>
      <c r="HJ42" s="58"/>
      <c r="HK42" s="14"/>
    </row>
    <row r="43" spans="1:220" ht="15.75" customHeight="1" x14ac:dyDescent="0.15">
      <c r="A43" s="3">
        <v>0</v>
      </c>
      <c r="B43" s="3">
        <v>0</v>
      </c>
      <c r="C43" s="34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N43" s="80" t="s">
        <v>291</v>
      </c>
      <c r="O43" s="60">
        <f>COUNTIF(G:G,37)</f>
        <v>0</v>
      </c>
      <c r="R43" s="53" t="s">
        <v>292</v>
      </c>
      <c r="S43" s="54">
        <f>COUNTIF(D:D,92)</f>
        <v>0</v>
      </c>
      <c r="T43" s="1" t="s">
        <v>293</v>
      </c>
      <c r="U43" s="1"/>
      <c r="V43" s="55"/>
      <c r="AD43" s="14"/>
      <c r="AE43" s="49"/>
      <c r="AF43" s="50"/>
      <c r="AG43" s="14"/>
      <c r="AH43" s="49"/>
      <c r="AI43" s="65"/>
      <c r="AJ43" s="65"/>
      <c r="AK43" s="13"/>
      <c r="AL43" s="13"/>
      <c r="AM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Q43" s="13"/>
      <c r="DR43" s="14"/>
      <c r="DT43" s="13"/>
      <c r="DU43" s="14"/>
      <c r="DW43" s="13"/>
      <c r="DX43" s="14"/>
      <c r="DY43" s="13"/>
      <c r="EA43" s="13"/>
      <c r="EB43" s="14"/>
      <c r="EC43" s="13"/>
      <c r="EE43" s="13"/>
      <c r="EF43" s="14"/>
      <c r="EG43" s="13"/>
      <c r="EI43" s="13"/>
      <c r="EJ43" s="13"/>
      <c r="EL43" s="13"/>
      <c r="EM43" s="14"/>
      <c r="EN43" s="13"/>
      <c r="EP43" s="13"/>
      <c r="EQ43" s="14"/>
      <c r="ER43" s="13"/>
      <c r="ET43" s="13"/>
      <c r="EU43" s="14"/>
      <c r="EV43" s="13"/>
      <c r="EX43" s="13"/>
      <c r="EY43" s="14"/>
      <c r="EZ43" s="13"/>
      <c r="FB43" s="13"/>
      <c r="FC43" s="14"/>
      <c r="FD43" s="13"/>
      <c r="FF43" s="13"/>
      <c r="FG43" s="14"/>
      <c r="FH43" s="13"/>
      <c r="FJ43" s="13"/>
      <c r="FK43" s="14"/>
      <c r="FL43" s="13"/>
      <c r="FN43" s="13"/>
      <c r="FO43" s="14"/>
      <c r="FP43" s="13"/>
      <c r="GD43" s="14"/>
      <c r="GE43" s="14"/>
      <c r="GG43" s="14"/>
      <c r="GH43" s="14"/>
      <c r="GJ43" s="14"/>
      <c r="GK43" s="14"/>
      <c r="GM43" s="14"/>
      <c r="GN43" s="14"/>
      <c r="GP43" s="14"/>
      <c r="GQ43" s="14"/>
      <c r="GZ43" s="13"/>
      <c r="HA43" s="14"/>
      <c r="HB43" s="13"/>
      <c r="HD43" s="13"/>
      <c r="HE43" s="14"/>
      <c r="HF43" s="13"/>
      <c r="HH43" s="13"/>
      <c r="HI43" s="14"/>
      <c r="HJ43" s="13"/>
    </row>
    <row r="44" spans="1:220" ht="15.75" customHeight="1" x14ac:dyDescent="0.15">
      <c r="A44" s="3">
        <v>0</v>
      </c>
      <c r="B44" s="3">
        <v>0</v>
      </c>
      <c r="C44" s="34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N44" s="82" t="s">
        <v>294</v>
      </c>
      <c r="O44" s="60">
        <f>COUNTIF(G:G,40)</f>
        <v>0</v>
      </c>
      <c r="R44" s="53" t="s">
        <v>295</v>
      </c>
      <c r="S44" s="54">
        <f>COUNTIF(D:D,93)</f>
        <v>0</v>
      </c>
      <c r="T44" s="59" t="s">
        <v>296</v>
      </c>
      <c r="U44" s="59" t="s">
        <v>297</v>
      </c>
      <c r="V44" s="60">
        <f>COUNTIF(F:F,"=610")</f>
        <v>0</v>
      </c>
      <c r="AD44" s="14"/>
      <c r="AE44" s="14"/>
      <c r="AF44" s="14"/>
      <c r="AG44" s="14"/>
      <c r="AH44" s="14"/>
      <c r="AI44" s="14"/>
      <c r="AJ44" s="14"/>
      <c r="AK44" s="13"/>
      <c r="AL44" s="13"/>
      <c r="AM44" s="14"/>
      <c r="CI44" s="14"/>
      <c r="CJ44" s="49"/>
      <c r="CK44" s="50"/>
      <c r="CL44" s="14"/>
      <c r="CM44" s="49"/>
      <c r="CN44" s="50"/>
      <c r="CO44" s="14"/>
      <c r="CP44" s="49"/>
      <c r="CQ44" s="50"/>
      <c r="CR44" s="14"/>
      <c r="CS44" s="49"/>
      <c r="CT44" s="50"/>
      <c r="CU44" s="14"/>
      <c r="CV44" s="49"/>
      <c r="CW44" s="50"/>
      <c r="CX44" s="14"/>
      <c r="CY44" s="49"/>
      <c r="CZ44" s="50"/>
      <c r="DA44" s="14"/>
      <c r="DB44" s="49"/>
      <c r="DC44" s="50"/>
      <c r="DD44" s="14"/>
      <c r="DE44" s="49"/>
      <c r="DF44" s="50"/>
      <c r="DG44" s="14"/>
      <c r="DH44" s="49"/>
      <c r="DI44" s="50"/>
      <c r="DQ44" s="13"/>
      <c r="DR44" s="13"/>
      <c r="DS44" s="14"/>
      <c r="DT44" s="13"/>
      <c r="DU44" s="13"/>
      <c r="DV44" s="14"/>
      <c r="DW44" s="13"/>
      <c r="DX44" s="13"/>
      <c r="DY44" s="58"/>
      <c r="DZ44" s="14"/>
      <c r="EA44" s="13"/>
      <c r="EB44" s="13"/>
      <c r="EC44" s="58"/>
      <c r="ED44" s="14"/>
      <c r="EE44" s="13"/>
      <c r="EF44" s="13"/>
      <c r="EG44" s="58"/>
      <c r="EH44" s="14"/>
      <c r="EI44" s="13"/>
      <c r="EJ44" s="58"/>
      <c r="EK44" s="14"/>
      <c r="EL44" s="13"/>
      <c r="EM44" s="13"/>
      <c r="EN44" s="58"/>
      <c r="EO44" s="14"/>
      <c r="EP44" s="13"/>
      <c r="EQ44" s="13"/>
      <c r="ER44" s="58"/>
      <c r="ES44" s="14"/>
      <c r="ET44" s="13"/>
      <c r="EU44" s="13"/>
      <c r="EV44" s="58"/>
      <c r="EW44" s="14"/>
      <c r="EX44" s="13"/>
      <c r="EY44" s="13"/>
      <c r="EZ44" s="58"/>
      <c r="FA44" s="14"/>
      <c r="FB44" s="13"/>
      <c r="FC44" s="13"/>
      <c r="FD44" s="58"/>
      <c r="FE44" s="14"/>
      <c r="FF44" s="13"/>
      <c r="FG44" s="13"/>
      <c r="FH44" s="58"/>
      <c r="FI44" s="14"/>
      <c r="FJ44" s="13"/>
      <c r="FK44" s="13"/>
      <c r="FL44" s="58"/>
      <c r="FM44" s="14"/>
      <c r="FN44" s="13"/>
      <c r="FO44" s="13"/>
      <c r="FP44" s="58"/>
      <c r="FQ44" s="14"/>
      <c r="GD44" s="14"/>
      <c r="GE44" s="14"/>
      <c r="GF44" s="14"/>
      <c r="GG44" s="14"/>
      <c r="GH44" s="14"/>
      <c r="GI44" s="14"/>
      <c r="GJ44" s="14"/>
      <c r="GK44" s="14"/>
      <c r="GL44" s="14"/>
      <c r="GM44" s="14"/>
      <c r="GN44" s="14"/>
      <c r="GO44" s="14"/>
      <c r="GP44" s="14"/>
      <c r="GQ44" s="14"/>
      <c r="GR44" s="14"/>
      <c r="GZ44" s="13"/>
      <c r="HA44" s="13"/>
      <c r="HB44" s="58"/>
      <c r="HC44" s="14"/>
      <c r="HD44" s="13"/>
      <c r="HE44" s="13"/>
      <c r="HF44" s="58"/>
      <c r="HG44" s="14"/>
      <c r="HH44" s="13"/>
      <c r="HI44" s="13"/>
      <c r="HJ44" s="58"/>
      <c r="HK44" s="14"/>
    </row>
    <row r="45" spans="1:220" ht="15.75" customHeight="1" x14ac:dyDescent="0.15">
      <c r="A45" s="3">
        <v>0</v>
      </c>
      <c r="B45" s="3">
        <v>0</v>
      </c>
      <c r="C45" s="34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N45" s="80" t="s">
        <v>298</v>
      </c>
      <c r="O45" s="83">
        <f>COUNTIF(G:G,41)</f>
        <v>0</v>
      </c>
      <c r="R45" s="53" t="s">
        <v>299</v>
      </c>
      <c r="S45" s="54">
        <f>COUNTIF(D:D,94)</f>
        <v>0</v>
      </c>
      <c r="T45" s="59" t="s">
        <v>300</v>
      </c>
      <c r="U45" s="59" t="s">
        <v>301</v>
      </c>
      <c r="V45" s="60">
        <f>COUNTIF(F:F,"=620")</f>
        <v>0</v>
      </c>
      <c r="AD45" s="14"/>
      <c r="AE45" s="49"/>
      <c r="AF45" s="50"/>
      <c r="AG45" s="14"/>
      <c r="AH45" s="49"/>
      <c r="AI45" s="65"/>
      <c r="AJ45" s="65"/>
      <c r="AK45" s="13"/>
      <c r="AL45" s="13"/>
      <c r="AM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Q45" s="13"/>
      <c r="DR45" s="14"/>
      <c r="DT45" s="13"/>
      <c r="DU45" s="14"/>
      <c r="DW45" s="13"/>
      <c r="DX45" s="14"/>
      <c r="DY45" s="13"/>
      <c r="EA45" s="13"/>
      <c r="EB45" s="14"/>
      <c r="EC45" s="13"/>
      <c r="EE45" s="13"/>
      <c r="EF45" s="14"/>
      <c r="EG45" s="13"/>
      <c r="EI45" s="13"/>
      <c r="EJ45" s="13"/>
      <c r="EL45" s="13"/>
      <c r="EM45" s="14"/>
      <c r="EN45" s="13"/>
      <c r="EP45" s="13"/>
      <c r="EQ45" s="14"/>
      <c r="ER45" s="13"/>
      <c r="ET45" s="13"/>
      <c r="EU45" s="14"/>
      <c r="EV45" s="13"/>
      <c r="EX45" s="13"/>
      <c r="EY45" s="14"/>
      <c r="EZ45" s="13"/>
      <c r="FB45" s="13"/>
      <c r="FC45" s="14"/>
      <c r="FD45" s="13"/>
      <c r="FF45" s="13"/>
      <c r="FG45" s="14"/>
      <c r="FH45" s="13"/>
      <c r="FJ45" s="13"/>
      <c r="FK45" s="14"/>
      <c r="FL45" s="13"/>
      <c r="FN45" s="13"/>
      <c r="FO45" s="14"/>
      <c r="FP45" s="13"/>
      <c r="GD45" s="14"/>
      <c r="GE45" s="14"/>
      <c r="GG45" s="14"/>
      <c r="GH45" s="14"/>
      <c r="GJ45" s="14"/>
      <c r="GK45" s="14"/>
      <c r="GM45" s="14"/>
      <c r="GN45" s="14"/>
      <c r="GP45" s="14"/>
      <c r="GQ45" s="14"/>
      <c r="GZ45" s="13"/>
      <c r="HA45" s="14"/>
      <c r="HB45" s="13"/>
      <c r="HD45" s="13"/>
      <c r="HE45" s="14"/>
      <c r="HF45" s="13"/>
      <c r="HH45" s="13"/>
      <c r="HI45" s="14"/>
      <c r="HJ45" s="13"/>
    </row>
    <row r="46" spans="1:220" ht="15.75" customHeight="1" x14ac:dyDescent="0.15">
      <c r="A46" s="3">
        <v>0</v>
      </c>
      <c r="B46" s="3">
        <v>0</v>
      </c>
      <c r="C46" s="34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N46" s="80" t="s">
        <v>302</v>
      </c>
      <c r="O46" s="60">
        <f>COUNTIF(G:G,42)</f>
        <v>0</v>
      </c>
      <c r="R46" s="53" t="s">
        <v>303</v>
      </c>
      <c r="S46" s="54">
        <f>COUNTIF(D:D,95)</f>
        <v>0</v>
      </c>
      <c r="T46" s="59" t="s">
        <v>304</v>
      </c>
      <c r="U46" s="59" t="s">
        <v>305</v>
      </c>
      <c r="V46" s="60">
        <f>COUNTIF(F:F,"=630")</f>
        <v>0</v>
      </c>
      <c r="AD46" s="14"/>
      <c r="AE46" s="14"/>
      <c r="AF46" s="14"/>
      <c r="AG46" s="14"/>
      <c r="AH46" s="14"/>
      <c r="AI46" s="14"/>
      <c r="AJ46" s="14"/>
      <c r="AK46" s="13"/>
      <c r="AL46" s="13"/>
      <c r="AM46" s="14"/>
      <c r="CI46" s="14"/>
      <c r="CJ46" s="49"/>
      <c r="CK46" s="50"/>
      <c r="CL46" s="14"/>
      <c r="CM46" s="49"/>
      <c r="CN46" s="50"/>
      <c r="CO46" s="14"/>
      <c r="CP46" s="49"/>
      <c r="CQ46" s="50"/>
      <c r="CR46" s="14"/>
      <c r="CS46" s="49"/>
      <c r="CT46" s="50"/>
      <c r="CU46" s="14"/>
      <c r="CV46" s="49"/>
      <c r="CW46" s="50"/>
      <c r="CX46" s="14"/>
      <c r="CY46" s="49"/>
      <c r="CZ46" s="50"/>
      <c r="DA46" s="14"/>
      <c r="DB46" s="49"/>
      <c r="DC46" s="50"/>
      <c r="DD46" s="14"/>
      <c r="DE46" s="49"/>
      <c r="DF46" s="50"/>
      <c r="DG46" s="14"/>
      <c r="DH46" s="49"/>
      <c r="DI46" s="50"/>
      <c r="DQ46" s="13"/>
      <c r="DR46" s="13"/>
      <c r="DS46" s="14"/>
      <c r="DT46" s="13"/>
      <c r="DU46" s="13"/>
      <c r="DV46" s="14"/>
      <c r="DW46" s="13"/>
      <c r="DX46" s="13"/>
      <c r="DY46" s="58"/>
      <c r="DZ46" s="14"/>
      <c r="EA46" s="13"/>
      <c r="EB46" s="13"/>
      <c r="EC46" s="58"/>
      <c r="ED46" s="14"/>
      <c r="EE46" s="13"/>
      <c r="EF46" s="13"/>
      <c r="EG46" s="58"/>
      <c r="EH46" s="14"/>
      <c r="EI46" s="13"/>
      <c r="EJ46" s="58"/>
      <c r="EK46" s="14"/>
      <c r="EL46" s="13"/>
      <c r="EM46" s="13"/>
      <c r="EN46" s="58"/>
      <c r="EO46" s="14"/>
      <c r="EP46" s="13"/>
      <c r="EQ46" s="13"/>
      <c r="ER46" s="58"/>
      <c r="ES46" s="14"/>
      <c r="ET46" s="13"/>
      <c r="EU46" s="13"/>
      <c r="EV46" s="58"/>
      <c r="EW46" s="14"/>
      <c r="EX46" s="13"/>
      <c r="EY46" s="13"/>
      <c r="EZ46" s="58"/>
      <c r="FA46" s="14"/>
      <c r="FB46" s="13"/>
      <c r="FC46" s="13"/>
      <c r="FD46" s="58"/>
      <c r="FE46" s="14"/>
      <c r="FF46" s="13"/>
      <c r="FG46" s="13"/>
      <c r="FH46" s="58"/>
      <c r="FI46" s="14"/>
      <c r="FJ46" s="13"/>
      <c r="FK46" s="13"/>
      <c r="FL46" s="58"/>
      <c r="FM46" s="14"/>
      <c r="FN46" s="13"/>
      <c r="FO46" s="13"/>
      <c r="FP46" s="58"/>
      <c r="FQ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Z46" s="13"/>
      <c r="HA46" s="13"/>
      <c r="HB46" s="58"/>
      <c r="HC46" s="14"/>
      <c r="HD46" s="13"/>
      <c r="HE46" s="13"/>
      <c r="HF46" s="58"/>
      <c r="HG46" s="14"/>
      <c r="HH46" s="13"/>
      <c r="HI46" s="13"/>
      <c r="HJ46" s="58"/>
      <c r="HK46" s="14"/>
    </row>
    <row r="47" spans="1:220" ht="15.75" customHeight="1" x14ac:dyDescent="0.15">
      <c r="A47" s="3">
        <v>0</v>
      </c>
      <c r="B47" s="3">
        <v>0</v>
      </c>
      <c r="C47" s="34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N47" s="80" t="s">
        <v>306</v>
      </c>
      <c r="O47" s="60">
        <f>COUNTIF(G:G,43)</f>
        <v>0</v>
      </c>
      <c r="R47" s="53" t="s">
        <v>307</v>
      </c>
      <c r="S47" s="54">
        <f>COUNTIF(D:D,96)</f>
        <v>1</v>
      </c>
      <c r="T47" s="1" t="s">
        <v>308</v>
      </c>
      <c r="U47" s="1"/>
      <c r="V47" s="55"/>
      <c r="AD47" s="14"/>
      <c r="AE47" s="49"/>
      <c r="AF47" s="50"/>
      <c r="AG47" s="14"/>
      <c r="AH47" s="49"/>
      <c r="AI47" s="65"/>
      <c r="AJ47" s="65"/>
      <c r="AK47" s="13"/>
      <c r="AL47" s="13"/>
      <c r="AM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Q47" s="13"/>
      <c r="DR47" s="14"/>
      <c r="DT47" s="13"/>
      <c r="DU47" s="14"/>
      <c r="DW47" s="13"/>
      <c r="DX47" s="14"/>
      <c r="DY47" s="13"/>
      <c r="EA47" s="13"/>
      <c r="EB47" s="14"/>
      <c r="EC47" s="13"/>
      <c r="EE47" s="13"/>
      <c r="EF47" s="14"/>
      <c r="EG47" s="13"/>
      <c r="EI47" s="13"/>
      <c r="EJ47" s="13"/>
      <c r="EL47" s="13"/>
      <c r="EM47" s="14"/>
      <c r="EN47" s="13"/>
      <c r="EP47" s="13"/>
      <c r="EQ47" s="14"/>
      <c r="ER47" s="13"/>
      <c r="ET47" s="13"/>
      <c r="EU47" s="14"/>
      <c r="EV47" s="13"/>
      <c r="EX47" s="13"/>
      <c r="EY47" s="14"/>
      <c r="EZ47" s="13"/>
      <c r="FB47" s="13"/>
      <c r="FC47" s="14"/>
      <c r="FD47" s="13"/>
      <c r="FF47" s="13"/>
      <c r="FG47" s="14"/>
      <c r="FH47" s="13"/>
      <c r="FJ47" s="13"/>
      <c r="FK47" s="14"/>
      <c r="FL47" s="13"/>
      <c r="FN47" s="13"/>
      <c r="FO47" s="14"/>
      <c r="FP47" s="13"/>
      <c r="GD47" s="14"/>
      <c r="GE47" s="14"/>
      <c r="GG47" s="14"/>
      <c r="GH47" s="14"/>
      <c r="GJ47" s="14"/>
      <c r="GK47" s="14"/>
      <c r="GM47" s="14"/>
      <c r="GN47" s="14"/>
      <c r="GP47" s="14"/>
      <c r="GQ47" s="14"/>
      <c r="GZ47" s="13"/>
      <c r="HA47" s="14"/>
      <c r="HB47" s="13"/>
      <c r="HD47" s="13"/>
      <c r="HE47" s="14"/>
      <c r="HF47" s="13"/>
      <c r="HH47" s="13"/>
      <c r="HI47" s="14"/>
      <c r="HJ47" s="13"/>
    </row>
    <row r="48" spans="1:220" ht="15.75" customHeight="1" x14ac:dyDescent="0.15">
      <c r="A48" s="3">
        <v>0</v>
      </c>
      <c r="B48" s="3">
        <v>0</v>
      </c>
      <c r="C48" s="34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N48" s="80" t="s">
        <v>309</v>
      </c>
      <c r="O48" s="60">
        <f>COUNTIF(G:G,44)</f>
        <v>1</v>
      </c>
      <c r="R48" s="53" t="s">
        <v>310</v>
      </c>
      <c r="S48" s="54">
        <f>COUNTIF(D:D,97)</f>
        <v>0</v>
      </c>
      <c r="T48" s="59" t="s">
        <v>311</v>
      </c>
      <c r="U48" s="59" t="s">
        <v>312</v>
      </c>
      <c r="V48" s="60">
        <f>COUNTIF(F:F,"=710")</f>
        <v>0</v>
      </c>
      <c r="AD48" s="14"/>
      <c r="AE48" s="14"/>
      <c r="AF48" s="14"/>
      <c r="AG48" s="14"/>
      <c r="AH48" s="14"/>
      <c r="AI48" s="14"/>
      <c r="AJ48" s="14"/>
      <c r="AK48" s="13"/>
      <c r="AL48" s="13"/>
      <c r="AM48" s="14"/>
      <c r="CI48" s="14"/>
      <c r="CJ48" s="49"/>
      <c r="CK48" s="50"/>
      <c r="CL48" s="14"/>
      <c r="CM48" s="49"/>
      <c r="CN48" s="50"/>
      <c r="CO48" s="14"/>
      <c r="CP48" s="49"/>
      <c r="CQ48" s="50"/>
      <c r="CR48" s="14"/>
      <c r="CS48" s="49"/>
      <c r="CT48" s="50"/>
      <c r="CU48" s="14"/>
      <c r="CV48" s="49"/>
      <c r="CW48" s="50"/>
      <c r="CX48" s="14"/>
      <c r="CY48" s="49"/>
      <c r="CZ48" s="50"/>
      <c r="DA48" s="14"/>
      <c r="DB48" s="49"/>
      <c r="DC48" s="50"/>
      <c r="DD48" s="14"/>
      <c r="DE48" s="49"/>
      <c r="DF48" s="50"/>
      <c r="DG48" s="14"/>
      <c r="DH48" s="49"/>
      <c r="DI48" s="50"/>
      <c r="DQ48" s="13"/>
      <c r="DR48" s="13"/>
      <c r="DS48" s="14"/>
      <c r="DT48" s="13"/>
      <c r="DU48" s="13"/>
      <c r="DV48" s="14"/>
      <c r="DW48" s="13"/>
      <c r="DX48" s="13"/>
      <c r="DY48" s="58"/>
      <c r="DZ48" s="14"/>
      <c r="EA48" s="13"/>
      <c r="EB48" s="13"/>
      <c r="EC48" s="58"/>
      <c r="ED48" s="14"/>
      <c r="EE48" s="13"/>
      <c r="EF48" s="13"/>
      <c r="EG48" s="58"/>
      <c r="EH48" s="14"/>
      <c r="EI48" s="13"/>
      <c r="EJ48" s="58"/>
      <c r="EK48" s="14"/>
      <c r="EL48" s="13"/>
      <c r="EM48" s="13"/>
      <c r="EN48" s="58"/>
      <c r="EO48" s="14"/>
      <c r="EP48" s="13"/>
      <c r="EQ48" s="13"/>
      <c r="ER48" s="58"/>
      <c r="ES48" s="14"/>
      <c r="ET48" s="13"/>
      <c r="EU48" s="13"/>
      <c r="EV48" s="58"/>
      <c r="EW48" s="14"/>
      <c r="EX48" s="13"/>
      <c r="EY48" s="13"/>
      <c r="EZ48" s="58"/>
      <c r="FA48" s="14"/>
      <c r="FB48" s="13"/>
      <c r="FC48" s="13"/>
      <c r="FD48" s="58"/>
      <c r="FE48" s="14"/>
      <c r="FF48" s="13"/>
      <c r="FG48" s="13"/>
      <c r="FH48" s="58"/>
      <c r="FI48" s="14"/>
      <c r="FJ48" s="13"/>
      <c r="FK48" s="13"/>
      <c r="FL48" s="58"/>
      <c r="FM48" s="14"/>
      <c r="FN48" s="13"/>
      <c r="FO48" s="13"/>
      <c r="FP48" s="58"/>
      <c r="FQ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Y48" s="66"/>
      <c r="GZ48" s="13"/>
      <c r="HA48" s="13"/>
      <c r="HB48" s="58"/>
      <c r="HC48" s="14"/>
      <c r="HD48" s="13"/>
      <c r="HE48" s="13"/>
      <c r="HF48" s="58"/>
      <c r="HG48" s="14"/>
      <c r="HH48" s="13"/>
      <c r="HI48" s="13"/>
      <c r="HJ48" s="58"/>
      <c r="HK48" s="14"/>
      <c r="HL48" s="66"/>
    </row>
    <row r="49" spans="1:219" ht="15.75" customHeight="1" x14ac:dyDescent="0.15">
      <c r="A49" s="3">
        <v>0</v>
      </c>
      <c r="B49" s="3">
        <v>0</v>
      </c>
      <c r="C49" s="34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N49" s="82" t="s">
        <v>313</v>
      </c>
      <c r="O49" s="60">
        <f>COUNTIF(G:G,45)</f>
        <v>2</v>
      </c>
      <c r="R49" s="53" t="s">
        <v>314</v>
      </c>
      <c r="S49" s="54">
        <f>COUNTIF(D:D,98)</f>
        <v>0</v>
      </c>
      <c r="T49" s="59" t="s">
        <v>315</v>
      </c>
      <c r="U49" s="59" t="s">
        <v>316</v>
      </c>
      <c r="V49" s="60">
        <f>COUNTIF(F:F,"=720")</f>
        <v>0</v>
      </c>
      <c r="AD49" s="14"/>
      <c r="AE49" s="49"/>
      <c r="AF49" s="50"/>
      <c r="AG49" s="14"/>
      <c r="AH49" s="49"/>
      <c r="AI49" s="65"/>
      <c r="AJ49" s="65"/>
      <c r="AK49" s="13"/>
      <c r="AL49" s="13"/>
      <c r="AM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Q49" s="13"/>
      <c r="DR49" s="14"/>
      <c r="DT49" s="13"/>
      <c r="DU49" s="14"/>
      <c r="DW49" s="13"/>
      <c r="DX49" s="14"/>
      <c r="DY49" s="13"/>
      <c r="EA49" s="13"/>
      <c r="EB49" s="14"/>
      <c r="EC49" s="13"/>
      <c r="EE49" s="13"/>
      <c r="EF49" s="14"/>
      <c r="EG49" s="13"/>
      <c r="EI49" s="13"/>
      <c r="EJ49" s="13"/>
      <c r="EL49" s="13"/>
      <c r="EM49" s="14"/>
      <c r="EN49" s="13"/>
      <c r="EP49" s="13"/>
      <c r="EQ49" s="14"/>
      <c r="ER49" s="13"/>
      <c r="ET49" s="13"/>
      <c r="EU49" s="14"/>
      <c r="EV49" s="13"/>
      <c r="EX49" s="13"/>
      <c r="EY49" s="14"/>
      <c r="EZ49" s="13"/>
      <c r="FB49" s="13"/>
      <c r="FC49" s="14"/>
      <c r="FD49" s="13"/>
      <c r="FF49" s="13"/>
      <c r="FG49" s="14"/>
      <c r="FH49" s="13"/>
      <c r="FJ49" s="13"/>
      <c r="FK49" s="14"/>
      <c r="FL49" s="13"/>
      <c r="FN49" s="13"/>
      <c r="FO49" s="14"/>
      <c r="FP49" s="13"/>
      <c r="GD49" s="14"/>
      <c r="GE49" s="14"/>
      <c r="GG49" s="14"/>
      <c r="GH49" s="14"/>
      <c r="GJ49" s="14"/>
      <c r="GK49" s="14"/>
      <c r="GM49" s="14"/>
      <c r="GN49" s="14"/>
      <c r="GP49" s="14"/>
      <c r="GQ49" s="14"/>
      <c r="GZ49" s="13"/>
      <c r="HA49" s="14"/>
      <c r="HB49" s="13"/>
      <c r="HD49" s="13"/>
      <c r="HE49" s="14"/>
      <c r="HF49" s="13"/>
      <c r="HH49" s="13"/>
      <c r="HI49" s="14"/>
      <c r="HJ49" s="13"/>
    </row>
    <row r="50" spans="1:219" ht="15.75" customHeight="1" x14ac:dyDescent="0.15">
      <c r="A50" s="3">
        <v>0</v>
      </c>
      <c r="B50" s="3">
        <v>0</v>
      </c>
      <c r="C50" s="34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N50" s="80" t="s">
        <v>317</v>
      </c>
      <c r="O50" s="60">
        <f>COUNTIF(G:G,46)</f>
        <v>0</v>
      </c>
      <c r="R50" s="53" t="s">
        <v>318</v>
      </c>
      <c r="S50" s="54">
        <f>COUNTIF(D:D,99)</f>
        <v>0</v>
      </c>
      <c r="T50" s="59" t="s">
        <v>319</v>
      </c>
      <c r="U50" s="59" t="s">
        <v>320</v>
      </c>
      <c r="V50" s="60">
        <f>COUNTIF(F:F,"=730")</f>
        <v>0</v>
      </c>
      <c r="AD50" s="14"/>
      <c r="AE50" s="14"/>
      <c r="AF50" s="14"/>
      <c r="AG50" s="14"/>
      <c r="AH50" s="14"/>
      <c r="AI50" s="14"/>
      <c r="AJ50" s="14"/>
      <c r="AK50" s="13"/>
      <c r="AL50" s="13"/>
      <c r="AM50" s="14"/>
      <c r="CI50" s="14"/>
      <c r="CJ50" s="49"/>
      <c r="CK50" s="50"/>
      <c r="CL50" s="14"/>
      <c r="CM50" s="49"/>
      <c r="CN50" s="50"/>
      <c r="CO50" s="14"/>
      <c r="CP50" s="49"/>
      <c r="CQ50" s="50"/>
      <c r="CR50" s="14"/>
      <c r="CS50" s="49"/>
      <c r="CT50" s="50"/>
      <c r="CU50" s="14"/>
      <c r="CV50" s="49"/>
      <c r="CW50" s="50"/>
      <c r="CX50" s="14"/>
      <c r="CY50" s="49"/>
      <c r="CZ50" s="50"/>
      <c r="DA50" s="14"/>
      <c r="DB50" s="49"/>
      <c r="DC50" s="50"/>
      <c r="DD50" s="14"/>
      <c r="DE50" s="49"/>
      <c r="DF50" s="50"/>
      <c r="DG50" s="14"/>
      <c r="DH50" s="49"/>
      <c r="DI50" s="50"/>
      <c r="DQ50" s="13"/>
      <c r="DR50" s="13"/>
      <c r="DS50" s="14"/>
      <c r="DT50" s="13"/>
      <c r="DU50" s="13"/>
      <c r="DV50" s="14"/>
      <c r="DW50" s="13"/>
      <c r="DX50" s="13"/>
      <c r="DY50" s="58"/>
      <c r="DZ50" s="14"/>
      <c r="EA50" s="13"/>
      <c r="EB50" s="13"/>
      <c r="EC50" s="58"/>
      <c r="ED50" s="14"/>
      <c r="EE50" s="13"/>
      <c r="EF50" s="13"/>
      <c r="EG50" s="58"/>
      <c r="EH50" s="14"/>
      <c r="EI50" s="13"/>
      <c r="EJ50" s="58"/>
      <c r="EK50" s="14"/>
      <c r="EL50" s="13"/>
      <c r="EM50" s="13"/>
      <c r="EN50" s="58"/>
      <c r="EO50" s="14"/>
      <c r="EP50" s="13"/>
      <c r="EQ50" s="13"/>
      <c r="ER50" s="58"/>
      <c r="ES50" s="14"/>
      <c r="ET50" s="13"/>
      <c r="EU50" s="13"/>
      <c r="EV50" s="58"/>
      <c r="EW50" s="14"/>
      <c r="EX50" s="13"/>
      <c r="EY50" s="13"/>
      <c r="EZ50" s="58"/>
      <c r="FA50" s="14"/>
      <c r="FB50" s="13"/>
      <c r="FC50" s="13"/>
      <c r="FD50" s="58"/>
      <c r="FE50" s="14"/>
      <c r="FF50" s="13"/>
      <c r="FG50" s="13"/>
      <c r="FH50" s="58"/>
      <c r="FI50" s="14"/>
      <c r="FJ50" s="13"/>
      <c r="FK50" s="13"/>
      <c r="FL50" s="58"/>
      <c r="FM50" s="14"/>
      <c r="FN50" s="13"/>
      <c r="FO50" s="13"/>
      <c r="FP50" s="58"/>
      <c r="FQ50" s="14"/>
      <c r="GD50" s="14"/>
      <c r="GE50" s="14"/>
      <c r="GF50" s="14"/>
      <c r="GG50" s="14"/>
      <c r="GH50" s="14"/>
      <c r="GI50" s="14"/>
      <c r="GJ50" s="14"/>
      <c r="GK50" s="14"/>
      <c r="GL50" s="14"/>
      <c r="GM50" s="14"/>
      <c r="GN50" s="14"/>
      <c r="GO50" s="14"/>
      <c r="GP50" s="14"/>
      <c r="GQ50" s="14"/>
      <c r="GR50" s="14"/>
      <c r="GZ50" s="13"/>
      <c r="HA50" s="13"/>
      <c r="HB50" s="58"/>
      <c r="HC50" s="14"/>
      <c r="HD50" s="13"/>
      <c r="HE50" s="13"/>
      <c r="HF50" s="58"/>
      <c r="HG50" s="14"/>
      <c r="HH50" s="13"/>
      <c r="HI50" s="13"/>
      <c r="HJ50" s="58"/>
      <c r="HK50" s="14"/>
    </row>
    <row r="51" spans="1:219" ht="15.75" customHeight="1" x14ac:dyDescent="0.15">
      <c r="A51" s="3">
        <v>0</v>
      </c>
      <c r="B51" s="3">
        <v>0</v>
      </c>
      <c r="C51" s="34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N51" s="82" t="s">
        <v>321</v>
      </c>
      <c r="O51" s="60">
        <f>COUNTIF(G:G,50)</f>
        <v>0</v>
      </c>
      <c r="R51" s="53" t="s">
        <v>322</v>
      </c>
      <c r="S51" s="54">
        <f>COUNTIF(D:D,100)</f>
        <v>0</v>
      </c>
      <c r="T51" s="59" t="s">
        <v>323</v>
      </c>
      <c r="U51" s="59" t="s">
        <v>324</v>
      </c>
      <c r="V51" s="60">
        <f>COUNTIF(F:F,"=740")</f>
        <v>0</v>
      </c>
      <c r="AD51" s="14"/>
      <c r="AE51" s="49"/>
      <c r="AF51" s="50"/>
      <c r="AG51" s="14"/>
      <c r="AH51" s="49"/>
      <c r="AI51" s="65"/>
      <c r="AJ51" s="65"/>
      <c r="AK51" s="13"/>
      <c r="AL51" s="13"/>
      <c r="AM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Q51" s="13"/>
      <c r="DR51" s="14"/>
      <c r="DT51" s="13"/>
      <c r="DU51" s="14"/>
      <c r="DW51" s="13"/>
      <c r="DX51" s="14"/>
      <c r="DY51" s="13"/>
      <c r="EA51" s="13"/>
      <c r="EB51" s="14"/>
      <c r="EC51" s="13"/>
      <c r="EE51" s="13"/>
      <c r="EF51" s="14"/>
      <c r="EG51" s="13"/>
      <c r="EI51" s="13"/>
      <c r="EJ51" s="13"/>
      <c r="EL51" s="13"/>
      <c r="EM51" s="14"/>
      <c r="EN51" s="13"/>
      <c r="EP51" s="13"/>
      <c r="EQ51" s="14"/>
      <c r="ER51" s="13"/>
      <c r="ET51" s="13"/>
      <c r="EU51" s="14"/>
      <c r="EV51" s="13"/>
      <c r="EX51" s="13"/>
      <c r="EY51" s="14"/>
      <c r="EZ51" s="13"/>
      <c r="FB51" s="13"/>
      <c r="FC51" s="14"/>
      <c r="FD51" s="13"/>
      <c r="FF51" s="13"/>
      <c r="FG51" s="14"/>
      <c r="FH51" s="13"/>
      <c r="FJ51" s="13"/>
      <c r="FK51" s="14"/>
      <c r="FL51" s="13"/>
      <c r="FN51" s="13"/>
      <c r="FO51" s="14"/>
      <c r="FP51" s="13"/>
      <c r="GD51" s="14"/>
      <c r="GE51" s="14"/>
      <c r="GG51" s="14"/>
      <c r="GH51" s="14"/>
      <c r="GJ51" s="14"/>
      <c r="GK51" s="14"/>
      <c r="GM51" s="14"/>
      <c r="GN51" s="14"/>
      <c r="GP51" s="14"/>
      <c r="GQ51" s="14"/>
      <c r="GZ51" s="13"/>
      <c r="HA51" s="14"/>
      <c r="HB51" s="13"/>
      <c r="HD51" s="13"/>
      <c r="HE51" s="14"/>
      <c r="HF51" s="13"/>
      <c r="HH51" s="13"/>
      <c r="HI51" s="14"/>
      <c r="HJ51" s="13"/>
    </row>
    <row r="52" spans="1:219" ht="15.75" customHeight="1" x14ac:dyDescent="0.15">
      <c r="A52" s="3">
        <v>0</v>
      </c>
      <c r="B52" s="3">
        <v>0</v>
      </c>
      <c r="C52" s="34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N52" s="80" t="s">
        <v>325</v>
      </c>
      <c r="O52" s="60">
        <f>COUNTIF(G:G,51)</f>
        <v>0</v>
      </c>
      <c r="R52" s="53" t="s">
        <v>326</v>
      </c>
      <c r="S52" s="54">
        <f>COUNTIF(D:D,101)</f>
        <v>0</v>
      </c>
      <c r="T52" s="59" t="s">
        <v>327</v>
      </c>
      <c r="U52" s="59" t="s">
        <v>328</v>
      </c>
      <c r="V52" s="60">
        <f>COUNTIF(F:F,"=750")</f>
        <v>0</v>
      </c>
      <c r="AD52" s="14"/>
      <c r="AE52" s="14"/>
      <c r="AF52" s="14"/>
      <c r="AG52" s="14"/>
      <c r="AH52" s="14"/>
      <c r="AI52" s="14"/>
      <c r="AJ52" s="14"/>
      <c r="AK52" s="13"/>
      <c r="AL52" s="13"/>
      <c r="AM52" s="14"/>
      <c r="CI52" s="14"/>
      <c r="CJ52" s="49"/>
      <c r="CK52" s="50"/>
      <c r="CL52" s="14"/>
      <c r="CM52" s="49"/>
      <c r="CN52" s="50"/>
      <c r="CO52" s="14"/>
      <c r="CP52" s="49"/>
      <c r="CQ52" s="50"/>
      <c r="CR52" s="14"/>
      <c r="CS52" s="49"/>
      <c r="CT52" s="50"/>
      <c r="CU52" s="14"/>
      <c r="CV52" s="49"/>
      <c r="CW52" s="50"/>
      <c r="CX52" s="14"/>
      <c r="CY52" s="49"/>
      <c r="CZ52" s="50"/>
      <c r="DA52" s="14"/>
      <c r="DB52" s="49"/>
      <c r="DC52" s="50"/>
      <c r="DD52" s="14"/>
      <c r="DE52" s="49"/>
      <c r="DF52" s="50"/>
      <c r="DG52" s="14"/>
      <c r="DH52" s="49"/>
      <c r="DI52" s="50"/>
      <c r="DQ52" s="13"/>
      <c r="DR52" s="13"/>
      <c r="DS52" s="14"/>
      <c r="DT52" s="13"/>
      <c r="DU52" s="13"/>
      <c r="DV52" s="14"/>
      <c r="DW52" s="13"/>
      <c r="DX52" s="13"/>
      <c r="DY52" s="58"/>
      <c r="DZ52" s="14"/>
      <c r="EA52" s="13"/>
      <c r="EB52" s="13"/>
      <c r="EC52" s="58"/>
      <c r="ED52" s="14"/>
      <c r="EE52" s="13"/>
      <c r="EF52" s="13"/>
      <c r="EG52" s="58"/>
      <c r="EH52" s="14"/>
      <c r="EI52" s="13"/>
      <c r="EJ52" s="58"/>
      <c r="EK52" s="14"/>
      <c r="EL52" s="13"/>
      <c r="EM52" s="13"/>
      <c r="EN52" s="58"/>
      <c r="EO52" s="14"/>
      <c r="EP52" s="13"/>
      <c r="EQ52" s="13"/>
      <c r="ER52" s="58"/>
      <c r="ES52" s="14"/>
      <c r="ET52" s="13"/>
      <c r="EU52" s="13"/>
      <c r="EV52" s="58"/>
      <c r="EW52" s="14"/>
      <c r="EX52" s="13"/>
      <c r="EY52" s="13"/>
      <c r="EZ52" s="58"/>
      <c r="FA52" s="14"/>
      <c r="FB52" s="13"/>
      <c r="FC52" s="13"/>
      <c r="FD52" s="58"/>
      <c r="FE52" s="14"/>
      <c r="FF52" s="13"/>
      <c r="FG52" s="13"/>
      <c r="FH52" s="58"/>
      <c r="FI52" s="14"/>
      <c r="FJ52" s="13"/>
      <c r="FK52" s="13"/>
      <c r="FL52" s="58"/>
      <c r="FM52" s="14"/>
      <c r="FN52" s="13"/>
      <c r="FO52" s="13"/>
      <c r="FP52" s="58"/>
      <c r="FQ52" s="14"/>
      <c r="GD52" s="14"/>
      <c r="GE52" s="14"/>
      <c r="GF52" s="14"/>
      <c r="GG52" s="14"/>
      <c r="GH52" s="14"/>
      <c r="GI52" s="14"/>
      <c r="GJ52" s="14"/>
      <c r="GK52" s="14"/>
      <c r="GL52" s="14"/>
      <c r="GM52" s="14"/>
      <c r="GN52" s="14"/>
      <c r="GO52" s="14"/>
      <c r="GP52" s="14"/>
      <c r="GQ52" s="14"/>
      <c r="GR52" s="14"/>
      <c r="GZ52" s="13"/>
      <c r="HA52" s="13"/>
      <c r="HB52" s="58"/>
      <c r="HC52" s="14"/>
      <c r="HD52" s="13"/>
      <c r="HE52" s="13"/>
      <c r="HF52" s="58"/>
      <c r="HG52" s="14"/>
      <c r="HH52" s="13"/>
      <c r="HI52" s="13"/>
      <c r="HJ52" s="58"/>
      <c r="HK52" s="14"/>
    </row>
    <row r="53" spans="1:219" ht="15.75" customHeight="1" x14ac:dyDescent="0.15">
      <c r="A53" s="3">
        <v>0</v>
      </c>
      <c r="B53" s="3">
        <v>0</v>
      </c>
      <c r="C53" s="34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N53" s="80" t="s">
        <v>329</v>
      </c>
      <c r="O53" s="60">
        <f>COUNTIF(G:G,52)</f>
        <v>1</v>
      </c>
      <c r="R53" s="53" t="s">
        <v>330</v>
      </c>
      <c r="S53" s="54">
        <f>COUNTIF(D:D,102)</f>
        <v>0</v>
      </c>
      <c r="T53" s="1" t="s">
        <v>331</v>
      </c>
      <c r="U53" s="1"/>
      <c r="V53" s="55"/>
      <c r="AD53" s="14"/>
      <c r="AE53" s="49"/>
      <c r="AF53" s="50"/>
      <c r="AG53" s="14"/>
      <c r="AH53" s="49"/>
      <c r="AI53" s="65"/>
      <c r="AJ53" s="65"/>
      <c r="AK53" s="13"/>
      <c r="AL53" s="13"/>
      <c r="AM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Q53" s="13"/>
      <c r="DR53" s="14"/>
      <c r="DT53" s="13"/>
      <c r="DU53" s="14"/>
      <c r="DW53" s="13"/>
      <c r="DX53" s="14"/>
      <c r="DY53" s="13"/>
      <c r="EA53" s="13"/>
      <c r="EB53" s="14"/>
      <c r="EC53" s="13"/>
      <c r="EE53" s="13"/>
      <c r="EF53" s="14"/>
      <c r="EG53" s="13"/>
      <c r="EI53" s="13"/>
      <c r="EJ53" s="13"/>
      <c r="EL53" s="13"/>
      <c r="EM53" s="14"/>
      <c r="EN53" s="13"/>
      <c r="EP53" s="13"/>
      <c r="EQ53" s="14"/>
      <c r="ER53" s="13"/>
      <c r="ET53" s="13"/>
      <c r="EU53" s="14"/>
      <c r="EV53" s="13"/>
      <c r="EX53" s="13"/>
      <c r="EY53" s="14"/>
      <c r="EZ53" s="13"/>
      <c r="FB53" s="13"/>
      <c r="FC53" s="14"/>
      <c r="FD53" s="13"/>
      <c r="FF53" s="13"/>
      <c r="FG53" s="14"/>
      <c r="FH53" s="13"/>
      <c r="FJ53" s="13"/>
      <c r="FK53" s="14"/>
      <c r="FL53" s="13"/>
      <c r="FN53" s="13"/>
      <c r="FO53" s="14"/>
      <c r="FP53" s="13"/>
      <c r="GD53" s="14"/>
      <c r="GE53" s="14"/>
      <c r="GG53" s="14"/>
      <c r="GH53" s="14"/>
      <c r="GJ53" s="14"/>
      <c r="GK53" s="14"/>
      <c r="GM53" s="14"/>
      <c r="GN53" s="14"/>
      <c r="GP53" s="14"/>
      <c r="GQ53" s="14"/>
      <c r="GZ53" s="13"/>
      <c r="HA53" s="14"/>
      <c r="HB53" s="13"/>
      <c r="HD53" s="13"/>
      <c r="HE53" s="14"/>
      <c r="HF53" s="13"/>
      <c r="HH53" s="13"/>
      <c r="HI53" s="14"/>
      <c r="HJ53" s="13"/>
    </row>
    <row r="54" spans="1:219" ht="15.75" customHeight="1" x14ac:dyDescent="0.15">
      <c r="A54" s="3">
        <v>0</v>
      </c>
      <c r="B54" s="3">
        <v>0</v>
      </c>
      <c r="C54" s="34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N54" s="80" t="s">
        <v>332</v>
      </c>
      <c r="O54" s="60">
        <f>COUNTIF(G:G,53)</f>
        <v>0</v>
      </c>
      <c r="R54" s="53" t="s">
        <v>333</v>
      </c>
      <c r="S54" s="54">
        <f>COUNTIF(D:D,103)</f>
        <v>0</v>
      </c>
      <c r="T54" s="59" t="s">
        <v>334</v>
      </c>
      <c r="U54" s="59" t="s">
        <v>335</v>
      </c>
      <c r="V54" s="60">
        <f>COUNTIF(F:F,"=810")</f>
        <v>0</v>
      </c>
      <c r="AD54" s="14"/>
      <c r="AE54" s="14"/>
      <c r="AF54" s="14"/>
      <c r="AG54" s="14"/>
      <c r="AH54" s="14"/>
      <c r="AI54" s="14"/>
      <c r="AJ54" s="14"/>
      <c r="AK54" s="13"/>
      <c r="AL54" s="13"/>
      <c r="AM54" s="14"/>
      <c r="CI54" s="14"/>
      <c r="CJ54" s="49"/>
      <c r="CK54" s="50"/>
      <c r="CL54" s="14"/>
      <c r="CM54" s="49"/>
      <c r="CN54" s="50"/>
      <c r="CO54" s="14"/>
      <c r="CP54" s="49"/>
      <c r="CQ54" s="50"/>
      <c r="CR54" s="14"/>
      <c r="CS54" s="49"/>
      <c r="CT54" s="50"/>
      <c r="CU54" s="14"/>
      <c r="CV54" s="49"/>
      <c r="CW54" s="50"/>
      <c r="CX54" s="14"/>
      <c r="CY54" s="49"/>
      <c r="CZ54" s="50"/>
      <c r="DA54" s="14"/>
      <c r="DB54" s="49"/>
      <c r="DC54" s="50"/>
      <c r="DD54" s="14"/>
      <c r="DE54" s="49"/>
      <c r="DF54" s="50"/>
      <c r="DG54" s="14"/>
      <c r="DH54" s="49"/>
      <c r="DI54" s="50"/>
      <c r="DQ54" s="13"/>
      <c r="DR54" s="13"/>
      <c r="DS54" s="14"/>
      <c r="DT54" s="13"/>
      <c r="DU54" s="13"/>
      <c r="DV54" s="14"/>
      <c r="DW54" s="13"/>
      <c r="DX54" s="13"/>
      <c r="DY54" s="58"/>
      <c r="DZ54" s="14"/>
      <c r="EA54" s="13"/>
      <c r="EB54" s="13"/>
      <c r="EC54" s="58"/>
      <c r="ED54" s="14"/>
      <c r="EE54" s="13"/>
      <c r="EF54" s="13"/>
      <c r="EG54" s="58"/>
      <c r="EH54" s="14"/>
      <c r="EI54" s="13"/>
      <c r="EJ54" s="58"/>
      <c r="EK54" s="14"/>
      <c r="EL54" s="13"/>
      <c r="EM54" s="13"/>
      <c r="EN54" s="58"/>
      <c r="EO54" s="14"/>
      <c r="EP54" s="13"/>
      <c r="EQ54" s="13"/>
      <c r="ER54" s="58"/>
      <c r="ES54" s="14"/>
      <c r="ET54" s="13"/>
      <c r="EU54" s="13"/>
      <c r="EV54" s="58"/>
      <c r="EW54" s="14"/>
      <c r="EX54" s="13"/>
      <c r="EY54" s="13"/>
      <c r="EZ54" s="58"/>
      <c r="FA54" s="14"/>
      <c r="FB54" s="13"/>
      <c r="FC54" s="13"/>
      <c r="FD54" s="58"/>
      <c r="FE54" s="14"/>
      <c r="FF54" s="13"/>
      <c r="FG54" s="13"/>
      <c r="FH54" s="58"/>
      <c r="FI54" s="14"/>
      <c r="FJ54" s="13"/>
      <c r="FK54" s="13"/>
      <c r="FL54" s="58"/>
      <c r="FM54" s="14"/>
      <c r="FN54" s="13"/>
      <c r="FO54" s="13"/>
      <c r="FP54" s="58"/>
      <c r="FQ54" s="14"/>
      <c r="GD54" s="14"/>
      <c r="GE54" s="14"/>
      <c r="GF54" s="14"/>
      <c r="GG54" s="14"/>
      <c r="GH54" s="14"/>
      <c r="GI54" s="14"/>
      <c r="GJ54" s="14"/>
      <c r="GK54" s="14"/>
      <c r="GL54" s="14"/>
      <c r="GM54" s="14"/>
      <c r="GN54" s="14"/>
      <c r="GO54" s="14"/>
      <c r="GP54" s="14"/>
      <c r="GQ54" s="14"/>
      <c r="GR54" s="14"/>
      <c r="GZ54" s="13"/>
      <c r="HA54" s="13"/>
      <c r="HB54" s="58"/>
      <c r="HC54" s="14"/>
      <c r="HD54" s="13"/>
      <c r="HE54" s="13"/>
      <c r="HF54" s="58"/>
      <c r="HG54" s="14"/>
      <c r="HH54" s="13"/>
      <c r="HI54" s="13"/>
      <c r="HJ54" s="58"/>
      <c r="HK54" s="14"/>
    </row>
    <row r="55" spans="1:219" ht="15.75" customHeight="1" x14ac:dyDescent="0.15">
      <c r="A55" s="3">
        <v>0</v>
      </c>
      <c r="B55" s="3">
        <v>0</v>
      </c>
      <c r="C55" s="34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N55" s="80" t="s">
        <v>336</v>
      </c>
      <c r="O55" s="60">
        <f>COUNTIF(G:G,54)</f>
        <v>0</v>
      </c>
      <c r="R55" s="53" t="s">
        <v>337</v>
      </c>
      <c r="S55" s="54">
        <f>COUNTIF(D:D,104)</f>
        <v>0</v>
      </c>
      <c r="T55" s="59" t="s">
        <v>338</v>
      </c>
      <c r="U55" s="59" t="s">
        <v>339</v>
      </c>
      <c r="V55" s="60">
        <f>COUNTIF(F:F,"=820")</f>
        <v>0</v>
      </c>
      <c r="AD55" s="14"/>
      <c r="AE55" s="49"/>
      <c r="AF55" s="50"/>
      <c r="AG55" s="14"/>
      <c r="AH55" s="49"/>
      <c r="AI55" s="65"/>
      <c r="AJ55" s="65"/>
      <c r="AK55" s="13"/>
      <c r="AL55" s="13"/>
      <c r="AM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Q55" s="13"/>
      <c r="DR55" s="14"/>
      <c r="DT55" s="13"/>
      <c r="DU55" s="14"/>
      <c r="DW55" s="13"/>
      <c r="DX55" s="14"/>
      <c r="DY55" s="13"/>
      <c r="EA55" s="13"/>
      <c r="EB55" s="14"/>
      <c r="EC55" s="13"/>
      <c r="EE55" s="13"/>
      <c r="EF55" s="14"/>
      <c r="EG55" s="13"/>
      <c r="EI55" s="13"/>
      <c r="EJ55" s="13"/>
      <c r="EL55" s="13"/>
      <c r="EM55" s="14"/>
      <c r="EN55" s="13"/>
      <c r="EP55" s="13"/>
      <c r="EQ55" s="14"/>
      <c r="ER55" s="13"/>
      <c r="ET55" s="13"/>
      <c r="EU55" s="14"/>
      <c r="EV55" s="13"/>
      <c r="EX55" s="13"/>
      <c r="EY55" s="14"/>
      <c r="EZ55" s="13"/>
      <c r="FB55" s="13"/>
      <c r="FC55" s="14"/>
      <c r="FD55" s="13"/>
      <c r="FF55" s="13"/>
      <c r="FG55" s="14"/>
      <c r="FH55" s="13"/>
      <c r="FJ55" s="13"/>
      <c r="FK55" s="14"/>
      <c r="FL55" s="13"/>
      <c r="FN55" s="13"/>
      <c r="FO55" s="14"/>
      <c r="FP55" s="13"/>
      <c r="GD55" s="14"/>
      <c r="GE55" s="14"/>
      <c r="GG55" s="14"/>
      <c r="GH55" s="14"/>
      <c r="GJ55" s="14"/>
      <c r="GK55" s="14"/>
      <c r="GM55" s="14"/>
      <c r="GN55" s="14"/>
      <c r="GP55" s="14"/>
      <c r="GQ55" s="14"/>
      <c r="GZ55" s="13"/>
      <c r="HA55" s="14"/>
      <c r="HB55" s="13"/>
      <c r="HD55" s="13"/>
      <c r="HE55" s="14"/>
      <c r="HF55" s="13"/>
      <c r="HH55" s="13"/>
      <c r="HI55" s="14"/>
      <c r="HJ55" s="13"/>
    </row>
    <row r="56" spans="1:219" ht="15.75" customHeight="1" x14ac:dyDescent="0.15">
      <c r="A56" s="3">
        <v>0</v>
      </c>
      <c r="B56" s="3">
        <v>0</v>
      </c>
      <c r="C56" s="34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N56" s="80" t="s">
        <v>340</v>
      </c>
      <c r="O56" s="60">
        <f>COUNTIF(G:G,55)</f>
        <v>0</v>
      </c>
      <c r="R56" s="53" t="s">
        <v>341</v>
      </c>
      <c r="S56" s="54">
        <f>COUNTIF(D:D,105)</f>
        <v>0</v>
      </c>
      <c r="T56" s="59" t="s">
        <v>342</v>
      </c>
      <c r="U56" s="59" t="s">
        <v>343</v>
      </c>
      <c r="V56" s="60">
        <f>COUNTIF(F:F,"=830")</f>
        <v>0</v>
      </c>
      <c r="AD56" s="14"/>
      <c r="AE56" s="14"/>
      <c r="AF56" s="14"/>
      <c r="AG56" s="14"/>
      <c r="AH56" s="14"/>
      <c r="AI56" s="14"/>
      <c r="AJ56" s="14"/>
      <c r="AK56" s="13"/>
      <c r="AL56" s="13"/>
      <c r="AM56" s="14"/>
      <c r="CI56" s="14"/>
      <c r="CJ56" s="49"/>
      <c r="CK56" s="50"/>
      <c r="CL56" s="14"/>
      <c r="CM56" s="49"/>
      <c r="CN56" s="50"/>
      <c r="CO56" s="14"/>
      <c r="CP56" s="49"/>
      <c r="CQ56" s="50"/>
      <c r="CR56" s="14"/>
      <c r="CS56" s="49"/>
      <c r="CT56" s="50"/>
      <c r="CU56" s="14"/>
      <c r="CV56" s="49"/>
      <c r="CW56" s="50"/>
      <c r="CX56" s="14"/>
      <c r="CY56" s="49"/>
      <c r="CZ56" s="50"/>
      <c r="DA56" s="14"/>
      <c r="DB56" s="49"/>
      <c r="DC56" s="50"/>
      <c r="DD56" s="14"/>
      <c r="DE56" s="49"/>
      <c r="DF56" s="50"/>
      <c r="DG56" s="14"/>
      <c r="DH56" s="49"/>
      <c r="DI56" s="50"/>
      <c r="DQ56" s="13"/>
      <c r="DR56" s="13"/>
      <c r="DS56" s="14"/>
      <c r="DT56" s="13"/>
      <c r="DU56" s="13"/>
      <c r="DV56" s="14"/>
      <c r="DW56" s="13"/>
      <c r="DX56" s="13"/>
      <c r="DY56" s="58"/>
      <c r="DZ56" s="14"/>
      <c r="EA56" s="13"/>
      <c r="EB56" s="13"/>
      <c r="EC56" s="58"/>
      <c r="ED56" s="14"/>
      <c r="EE56" s="13"/>
      <c r="EF56" s="13"/>
      <c r="EG56" s="58"/>
      <c r="EH56" s="14"/>
      <c r="EI56" s="13"/>
      <c r="EJ56" s="58"/>
      <c r="EK56" s="14"/>
      <c r="EL56" s="13"/>
      <c r="EM56" s="13"/>
      <c r="EN56" s="58"/>
      <c r="EO56" s="14"/>
      <c r="EP56" s="13"/>
      <c r="EQ56" s="13"/>
      <c r="ER56" s="58"/>
      <c r="ES56" s="14"/>
      <c r="ET56" s="13"/>
      <c r="EU56" s="13"/>
      <c r="EV56" s="58"/>
      <c r="EW56" s="14"/>
      <c r="EX56" s="13"/>
      <c r="EY56" s="13"/>
      <c r="EZ56" s="58"/>
      <c r="FA56" s="14"/>
      <c r="FB56" s="13"/>
      <c r="FC56" s="13"/>
      <c r="FD56" s="58"/>
      <c r="FE56" s="14"/>
      <c r="FF56" s="13"/>
      <c r="FG56" s="13"/>
      <c r="FH56" s="58"/>
      <c r="FI56" s="14"/>
      <c r="FJ56" s="13"/>
      <c r="FK56" s="13"/>
      <c r="FL56" s="58"/>
      <c r="FM56" s="14"/>
      <c r="FN56" s="13"/>
      <c r="FO56" s="13"/>
      <c r="FP56" s="58"/>
      <c r="FQ56" s="14"/>
      <c r="GD56" s="14"/>
      <c r="GE56" s="14"/>
      <c r="GF56" s="14"/>
      <c r="GG56" s="14"/>
      <c r="GH56" s="14"/>
      <c r="GI56" s="14"/>
      <c r="GJ56" s="14"/>
      <c r="GK56" s="14"/>
      <c r="GL56" s="14"/>
      <c r="GM56" s="14"/>
      <c r="GN56" s="14"/>
      <c r="GO56" s="14"/>
      <c r="GP56" s="14"/>
      <c r="GQ56" s="14"/>
      <c r="GR56" s="14"/>
      <c r="GZ56" s="13"/>
      <c r="HA56" s="13"/>
      <c r="HB56" s="58"/>
      <c r="HC56" s="14"/>
      <c r="HD56" s="13"/>
      <c r="HE56" s="13"/>
      <c r="HF56" s="58"/>
      <c r="HG56" s="14"/>
      <c r="HH56" s="13"/>
      <c r="HI56" s="13"/>
      <c r="HJ56" s="58"/>
      <c r="HK56" s="14"/>
    </row>
    <row r="57" spans="1:219" ht="15.75" customHeight="1" x14ac:dyDescent="0.15">
      <c r="A57" s="3">
        <v>0</v>
      </c>
      <c r="B57" s="3">
        <v>0</v>
      </c>
      <c r="C57" s="34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N57" s="82" t="s">
        <v>344</v>
      </c>
      <c r="O57" s="60">
        <f>COUNTIF(G:G,60)</f>
        <v>0</v>
      </c>
      <c r="R57" s="61" t="s">
        <v>345</v>
      </c>
      <c r="S57" s="61">
        <f>SUM(S2:S56)</f>
        <v>9</v>
      </c>
      <c r="T57" s="59" t="s">
        <v>346</v>
      </c>
      <c r="U57" s="59" t="s">
        <v>347</v>
      </c>
      <c r="V57" s="60">
        <f>COUNTIF(F:F,"=840")</f>
        <v>0</v>
      </c>
      <c r="AD57" s="14"/>
      <c r="AE57" s="49"/>
      <c r="AF57" s="50"/>
      <c r="AG57" s="14"/>
      <c r="AH57" s="49"/>
      <c r="AI57" s="65"/>
      <c r="AJ57" s="65"/>
      <c r="AK57" s="13"/>
      <c r="AL57" s="13"/>
      <c r="AM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Q57" s="13"/>
      <c r="DR57" s="14"/>
      <c r="DT57" s="13"/>
      <c r="DU57" s="14"/>
      <c r="DW57" s="13"/>
      <c r="DX57" s="14"/>
      <c r="DY57" s="13"/>
      <c r="EA57" s="13"/>
      <c r="EB57" s="14"/>
      <c r="EC57" s="13"/>
      <c r="EE57" s="13"/>
      <c r="EF57" s="14"/>
      <c r="EG57" s="13"/>
      <c r="EI57" s="13"/>
      <c r="EJ57" s="13"/>
      <c r="EL57" s="13"/>
      <c r="EM57" s="14"/>
      <c r="EN57" s="13"/>
      <c r="EP57" s="13"/>
      <c r="EQ57" s="14"/>
      <c r="ER57" s="13"/>
      <c r="ET57" s="13"/>
      <c r="EU57" s="14"/>
      <c r="EV57" s="13"/>
      <c r="EX57" s="13"/>
      <c r="EY57" s="14"/>
      <c r="EZ57" s="13"/>
      <c r="FB57" s="13"/>
      <c r="FC57" s="14"/>
      <c r="FD57" s="13"/>
      <c r="FF57" s="13"/>
      <c r="FG57" s="14"/>
      <c r="FH57" s="13"/>
      <c r="FJ57" s="13"/>
      <c r="FK57" s="14"/>
      <c r="FL57" s="13"/>
      <c r="FN57" s="13"/>
      <c r="FO57" s="14"/>
      <c r="FP57" s="13"/>
      <c r="GD57" s="14"/>
      <c r="GE57" s="14"/>
      <c r="GG57" s="14"/>
      <c r="GH57" s="14"/>
      <c r="GJ57" s="14"/>
      <c r="GK57" s="14"/>
      <c r="GM57" s="14"/>
      <c r="GN57" s="14"/>
      <c r="GP57" s="14"/>
      <c r="GQ57" s="14"/>
      <c r="GZ57" s="13"/>
      <c r="HA57" s="14"/>
      <c r="HB57" s="13"/>
      <c r="HD57" s="13"/>
      <c r="HE57" s="14"/>
      <c r="HF57" s="13"/>
      <c r="HH57" s="13"/>
      <c r="HI57" s="14"/>
      <c r="HJ57" s="13"/>
    </row>
    <row r="58" spans="1:219" ht="15.75" customHeight="1" x14ac:dyDescent="0.15">
      <c r="A58" s="3">
        <v>0</v>
      </c>
      <c r="B58" s="3">
        <v>0</v>
      </c>
      <c r="C58" s="34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N58" s="82" t="s">
        <v>348</v>
      </c>
      <c r="O58" s="60">
        <f>COUNTIF(G:G,70)</f>
        <v>0</v>
      </c>
      <c r="T58" s="59" t="s">
        <v>349</v>
      </c>
      <c r="U58" s="59" t="s">
        <v>350</v>
      </c>
      <c r="V58" s="60">
        <f>COUNTIF(F:F,"=850")</f>
        <v>0</v>
      </c>
      <c r="AD58" s="14"/>
      <c r="AE58" s="14"/>
      <c r="AF58" s="14"/>
      <c r="AG58" s="14"/>
      <c r="AH58" s="14"/>
      <c r="AI58" s="84"/>
      <c r="CI58" s="14"/>
      <c r="CJ58" s="49"/>
      <c r="CK58" s="50"/>
      <c r="CL58" s="14"/>
      <c r="CM58" s="49"/>
      <c r="CN58" s="50"/>
      <c r="CO58" s="14"/>
      <c r="CP58" s="49"/>
      <c r="CQ58" s="50"/>
      <c r="CR58" s="14"/>
      <c r="CS58" s="49"/>
      <c r="CT58" s="50"/>
      <c r="CU58" s="14"/>
      <c r="CV58" s="49"/>
      <c r="CW58" s="50"/>
      <c r="CX58" s="14"/>
      <c r="CY58" s="49"/>
      <c r="CZ58" s="50"/>
      <c r="DA58" s="14"/>
      <c r="DB58" s="49"/>
      <c r="DC58" s="50"/>
      <c r="DD58" s="14"/>
      <c r="DE58" s="49"/>
      <c r="DF58" s="50"/>
      <c r="DG58" s="14"/>
      <c r="DH58" s="49"/>
      <c r="DI58" s="50"/>
      <c r="DQ58" s="13"/>
      <c r="DR58" s="13"/>
      <c r="DS58" s="14"/>
      <c r="DT58" s="13"/>
      <c r="DU58" s="13"/>
      <c r="DV58" s="14"/>
      <c r="DW58" s="13"/>
      <c r="DX58" s="13"/>
      <c r="DY58" s="58"/>
      <c r="DZ58" s="14"/>
      <c r="EA58" s="13"/>
      <c r="EB58" s="13"/>
      <c r="EC58" s="58"/>
      <c r="ED58" s="14"/>
      <c r="EE58" s="13"/>
      <c r="EF58" s="13"/>
      <c r="EG58" s="58"/>
      <c r="EH58" s="14"/>
      <c r="EI58" s="13"/>
      <c r="EJ58" s="58"/>
      <c r="EK58" s="14"/>
      <c r="EL58" s="13"/>
      <c r="EM58" s="13"/>
      <c r="EN58" s="58"/>
      <c r="EO58" s="14"/>
      <c r="EP58" s="13"/>
      <c r="EQ58" s="13"/>
      <c r="ER58" s="58"/>
      <c r="ES58" s="14"/>
      <c r="ET58" s="13"/>
      <c r="EU58" s="13"/>
      <c r="EV58" s="58"/>
      <c r="EW58" s="14"/>
      <c r="EX58" s="13"/>
      <c r="EY58" s="13"/>
      <c r="EZ58" s="58"/>
      <c r="FA58" s="14"/>
      <c r="FB58" s="13"/>
      <c r="FC58" s="13"/>
      <c r="FD58" s="58"/>
      <c r="FE58" s="14"/>
      <c r="FF58" s="13"/>
      <c r="FG58" s="13"/>
      <c r="FH58" s="58"/>
      <c r="FI58" s="14"/>
      <c r="FJ58" s="13"/>
      <c r="FK58" s="13"/>
      <c r="FL58" s="58"/>
      <c r="FM58" s="14"/>
      <c r="FN58" s="13"/>
      <c r="FO58" s="13"/>
      <c r="FP58" s="58"/>
      <c r="FQ58" s="14"/>
      <c r="GD58" s="14"/>
      <c r="GE58" s="14"/>
      <c r="GF58" s="14"/>
      <c r="GG58" s="14"/>
      <c r="GH58" s="14"/>
      <c r="GI58" s="14"/>
      <c r="GJ58" s="14"/>
      <c r="GK58" s="14"/>
      <c r="GL58" s="14"/>
      <c r="GM58" s="14"/>
      <c r="GN58" s="14"/>
      <c r="GO58" s="14"/>
      <c r="GP58" s="14"/>
      <c r="GQ58" s="14"/>
      <c r="GR58" s="14"/>
      <c r="GZ58" s="13"/>
      <c r="HA58" s="13"/>
      <c r="HB58" s="58"/>
      <c r="HC58" s="14"/>
      <c r="HD58" s="13"/>
      <c r="HE58" s="13"/>
      <c r="HF58" s="58"/>
      <c r="HG58" s="14"/>
      <c r="HH58" s="13"/>
      <c r="HI58" s="13"/>
      <c r="HJ58" s="58"/>
      <c r="HK58" s="14"/>
    </row>
    <row r="59" spans="1:219" ht="15.75" customHeight="1" x14ac:dyDescent="0.15">
      <c r="A59" s="3">
        <v>0</v>
      </c>
      <c r="B59" s="3">
        <v>0</v>
      </c>
      <c r="C59" s="34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N59" s="82" t="s">
        <v>351</v>
      </c>
      <c r="O59" s="60">
        <f>COUNTIF(G:G,80)</f>
        <v>0</v>
      </c>
      <c r="T59" s="59" t="s">
        <v>352</v>
      </c>
      <c r="U59" s="59" t="s">
        <v>353</v>
      </c>
      <c r="V59" s="60">
        <f>COUNTIF(F:F,"=860")</f>
        <v>0</v>
      </c>
      <c r="AD59" s="14"/>
      <c r="AE59" s="49"/>
      <c r="AF59" s="50"/>
      <c r="AG59" s="14"/>
      <c r="AH59" s="49"/>
      <c r="AI59" s="8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Q59" s="13"/>
      <c r="DR59" s="14"/>
      <c r="DT59" s="13"/>
      <c r="DU59" s="14"/>
      <c r="DW59" s="13"/>
      <c r="DX59" s="14"/>
      <c r="DY59" s="13"/>
      <c r="EA59" s="13"/>
      <c r="EB59" s="14"/>
      <c r="EC59" s="13"/>
      <c r="EE59" s="13"/>
      <c r="EF59" s="14"/>
      <c r="EG59" s="13"/>
      <c r="EI59" s="13"/>
      <c r="EJ59" s="13"/>
      <c r="EL59" s="13"/>
      <c r="EM59" s="14"/>
      <c r="EN59" s="13"/>
      <c r="EP59" s="13"/>
      <c r="EQ59" s="14"/>
      <c r="ER59" s="13"/>
      <c r="ET59" s="13"/>
      <c r="EU59" s="14"/>
      <c r="EV59" s="13"/>
      <c r="EX59" s="13"/>
      <c r="EY59" s="14"/>
      <c r="EZ59" s="13"/>
      <c r="FB59" s="13"/>
      <c r="FC59" s="14"/>
      <c r="FD59" s="13"/>
      <c r="FF59" s="13"/>
      <c r="FG59" s="14"/>
      <c r="FH59" s="13"/>
      <c r="FJ59" s="13"/>
      <c r="FK59" s="14"/>
      <c r="FL59" s="13"/>
      <c r="FN59" s="13"/>
      <c r="FO59" s="14"/>
      <c r="FP59" s="13"/>
      <c r="GD59" s="14"/>
      <c r="GE59" s="14"/>
      <c r="GG59" s="14"/>
      <c r="GH59" s="14"/>
      <c r="GJ59" s="14"/>
      <c r="GK59" s="14"/>
      <c r="GM59" s="14"/>
      <c r="GN59" s="14"/>
      <c r="GP59" s="14"/>
      <c r="GQ59" s="14"/>
      <c r="GZ59" s="13"/>
      <c r="HA59" s="14"/>
      <c r="HB59" s="13"/>
      <c r="HD59" s="13"/>
      <c r="HE59" s="14"/>
      <c r="HF59" s="13"/>
      <c r="HH59" s="13"/>
      <c r="HI59" s="14"/>
      <c r="HJ59" s="13"/>
    </row>
    <row r="60" spans="1:219" ht="15.75" customHeight="1" x14ac:dyDescent="0.15">
      <c r="A60" s="3">
        <v>0</v>
      </c>
      <c r="B60" s="3">
        <v>0</v>
      </c>
      <c r="C60" s="34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N60" s="82" t="s">
        <v>354</v>
      </c>
      <c r="O60" s="60">
        <f>COUNTIF(G:G,90)</f>
        <v>0</v>
      </c>
      <c r="T60" s="59" t="s">
        <v>355</v>
      </c>
      <c r="U60" s="59" t="s">
        <v>356</v>
      </c>
      <c r="V60" s="60">
        <f>COUNTIF(F:F,"=870")</f>
        <v>0</v>
      </c>
      <c r="AD60" s="14"/>
      <c r="AE60" s="14"/>
      <c r="AF60" s="14"/>
      <c r="AG60" s="14"/>
      <c r="AH60" s="14"/>
      <c r="AM60" s="14"/>
      <c r="CI60" s="14"/>
      <c r="CJ60" s="49"/>
      <c r="CK60" s="50"/>
      <c r="CL60" s="14"/>
      <c r="CM60" s="49"/>
      <c r="CN60" s="50"/>
      <c r="CO60" s="14"/>
      <c r="CP60" s="49"/>
      <c r="CQ60" s="50"/>
      <c r="CR60" s="14"/>
      <c r="CS60" s="49"/>
      <c r="CT60" s="50"/>
      <c r="CU60" s="14"/>
      <c r="CV60" s="49"/>
      <c r="CW60" s="50"/>
      <c r="CX60" s="14"/>
      <c r="CY60" s="49"/>
      <c r="CZ60" s="50"/>
      <c r="DA60" s="14"/>
      <c r="DB60" s="49"/>
      <c r="DC60" s="50"/>
      <c r="DD60" s="14"/>
      <c r="DE60" s="49"/>
      <c r="DF60" s="50"/>
      <c r="DG60" s="14"/>
      <c r="DH60" s="49"/>
      <c r="DI60" s="50"/>
      <c r="DQ60" s="13"/>
      <c r="DR60" s="13"/>
      <c r="DS60" s="14"/>
      <c r="DT60" s="13"/>
      <c r="DU60" s="13"/>
      <c r="DV60" s="14"/>
      <c r="DW60" s="13"/>
      <c r="DX60" s="13"/>
      <c r="DY60" s="58"/>
      <c r="DZ60" s="14"/>
      <c r="EA60" s="13"/>
      <c r="EB60" s="13"/>
      <c r="EC60" s="58"/>
      <c r="ED60" s="14"/>
      <c r="EE60" s="13"/>
      <c r="EF60" s="13"/>
      <c r="EG60" s="58"/>
      <c r="EH60" s="14"/>
      <c r="EI60" s="13"/>
      <c r="EJ60" s="58"/>
      <c r="EK60" s="14"/>
      <c r="EL60" s="13"/>
      <c r="EM60" s="13"/>
      <c r="EN60" s="58"/>
      <c r="EO60" s="14"/>
      <c r="EP60" s="13"/>
      <c r="EQ60" s="13"/>
      <c r="ER60" s="58"/>
      <c r="ES60" s="14"/>
      <c r="ET60" s="13"/>
      <c r="EU60" s="13"/>
      <c r="EV60" s="58"/>
      <c r="EW60" s="14"/>
      <c r="EX60" s="13"/>
      <c r="EY60" s="13"/>
      <c r="EZ60" s="58"/>
      <c r="FA60" s="14"/>
      <c r="FB60" s="13"/>
      <c r="FC60" s="13"/>
      <c r="FD60" s="58"/>
      <c r="FE60" s="14"/>
      <c r="FF60" s="13"/>
      <c r="FG60" s="13"/>
      <c r="FH60" s="58"/>
      <c r="FI60" s="14"/>
      <c r="FJ60" s="13"/>
      <c r="FK60" s="13"/>
      <c r="FL60" s="58"/>
      <c r="FM60" s="14"/>
      <c r="FN60" s="13"/>
      <c r="FO60" s="13"/>
      <c r="FP60" s="58"/>
      <c r="FQ60" s="14"/>
      <c r="GD60" s="14"/>
      <c r="GE60" s="14"/>
      <c r="GF60" s="14"/>
      <c r="GG60" s="14"/>
      <c r="GH60" s="14"/>
      <c r="GI60" s="14"/>
      <c r="GJ60" s="14"/>
      <c r="GK60" s="14"/>
      <c r="GL60" s="14"/>
      <c r="GM60" s="14"/>
      <c r="GN60" s="14"/>
      <c r="GO60" s="14"/>
      <c r="GP60" s="14"/>
      <c r="GQ60" s="14"/>
      <c r="GR60" s="14"/>
      <c r="GZ60" s="13"/>
      <c r="HA60" s="13"/>
      <c r="HB60" s="58"/>
      <c r="HC60" s="14"/>
      <c r="HD60" s="13"/>
      <c r="HE60" s="13"/>
      <c r="HF60" s="58"/>
      <c r="HG60" s="14"/>
      <c r="HH60" s="13"/>
      <c r="HI60" s="13"/>
      <c r="HJ60" s="58"/>
      <c r="HK60" s="14"/>
    </row>
    <row r="61" spans="1:219" ht="15.75" customHeight="1" x14ac:dyDescent="0.15">
      <c r="A61" s="3">
        <v>0</v>
      </c>
      <c r="B61" s="3">
        <v>0</v>
      </c>
      <c r="C61" s="34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N61" s="82" t="s">
        <v>357</v>
      </c>
      <c r="O61" s="60">
        <f>COUNTIF(G:G,99)</f>
        <v>2</v>
      </c>
      <c r="T61" s="59" t="s">
        <v>358</v>
      </c>
      <c r="U61" s="59" t="s">
        <v>359</v>
      </c>
      <c r="V61" s="60">
        <f>COUNTIF(F:F,"=880")</f>
        <v>0</v>
      </c>
      <c r="AK61" s="81"/>
      <c r="AM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R61" s="85"/>
      <c r="GZ61" s="13"/>
      <c r="HA61" s="14"/>
      <c r="HB61" s="13"/>
      <c r="HD61" s="13"/>
      <c r="HE61" s="14"/>
      <c r="HF61" s="13"/>
      <c r="HH61" s="13"/>
      <c r="HI61" s="14"/>
      <c r="HJ61" s="13"/>
    </row>
    <row r="62" spans="1:219" ht="15.75" customHeight="1" x14ac:dyDescent="0.15">
      <c r="A62" s="3">
        <v>0</v>
      </c>
      <c r="B62" s="3">
        <v>0</v>
      </c>
      <c r="C62" s="34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N62" s="68" t="s">
        <v>113</v>
      </c>
      <c r="O62" s="69">
        <f>SUM(O29:O61)</f>
        <v>9</v>
      </c>
      <c r="T62" s="1" t="s">
        <v>360</v>
      </c>
      <c r="U62" s="1"/>
      <c r="V62" s="55"/>
      <c r="AI62" s="14"/>
      <c r="AJ62" s="14"/>
      <c r="AK62" s="13"/>
      <c r="AL62" s="13"/>
      <c r="AM62" s="14"/>
      <c r="CI62" s="14"/>
      <c r="CJ62" s="49"/>
      <c r="CK62" s="50"/>
      <c r="CL62" s="14"/>
      <c r="CM62" s="49"/>
      <c r="CN62" s="50"/>
      <c r="CO62" s="14"/>
      <c r="CP62" s="49"/>
      <c r="CQ62" s="50"/>
      <c r="CR62" s="14"/>
      <c r="CS62" s="49"/>
      <c r="CT62" s="50"/>
      <c r="CU62" s="14"/>
      <c r="CV62" s="49"/>
      <c r="CW62" s="50"/>
      <c r="CX62" s="14"/>
      <c r="CY62" s="49"/>
      <c r="CZ62" s="50"/>
      <c r="DA62" s="14"/>
      <c r="DB62" s="49"/>
      <c r="DC62" s="50"/>
      <c r="DD62" s="14"/>
      <c r="DE62" s="49"/>
      <c r="DF62" s="50"/>
      <c r="DG62" s="14"/>
      <c r="DH62" s="49"/>
      <c r="DI62" s="50"/>
      <c r="GZ62" s="13"/>
      <c r="HA62" s="13"/>
      <c r="HB62" s="58"/>
      <c r="HC62" s="14"/>
      <c r="HD62" s="13"/>
      <c r="HE62" s="13"/>
      <c r="HF62" s="58"/>
      <c r="HG62" s="14"/>
      <c r="HH62" s="13"/>
      <c r="HI62" s="13"/>
      <c r="HJ62" s="58"/>
      <c r="HK62" s="14"/>
    </row>
    <row r="63" spans="1:219" ht="15.75" customHeight="1" x14ac:dyDescent="0.15">
      <c r="A63" s="3">
        <v>0</v>
      </c>
      <c r="B63" s="3">
        <v>0</v>
      </c>
      <c r="C63" s="34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N63" s="14"/>
      <c r="T63" s="59" t="s">
        <v>361</v>
      </c>
      <c r="U63" s="59" t="s">
        <v>362</v>
      </c>
      <c r="V63" s="60">
        <f>COUNTIF(F:F,"=910")</f>
        <v>0</v>
      </c>
      <c r="AI63" s="65"/>
      <c r="AJ63" s="65"/>
      <c r="AK63" s="13"/>
      <c r="AL63" s="13"/>
      <c r="AM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GZ63" s="13"/>
      <c r="HA63" s="14"/>
      <c r="HB63" s="13"/>
      <c r="HD63" s="13"/>
      <c r="HE63" s="14"/>
      <c r="HF63" s="13"/>
      <c r="HH63" s="13"/>
      <c r="HI63" s="14"/>
      <c r="HJ63" s="13"/>
    </row>
    <row r="64" spans="1:219" ht="15.75" customHeight="1" x14ac:dyDescent="0.15">
      <c r="A64" s="3">
        <v>0</v>
      </c>
      <c r="B64" s="3">
        <v>0</v>
      </c>
      <c r="C64" s="34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N64" s="14"/>
      <c r="T64" s="59" t="s">
        <v>363</v>
      </c>
      <c r="U64" s="59" t="s">
        <v>364</v>
      </c>
      <c r="V64" s="60">
        <f>COUNTIF(F:F,"=920")</f>
        <v>0</v>
      </c>
      <c r="AI64" s="14"/>
      <c r="AJ64" s="14"/>
      <c r="AK64" s="13"/>
      <c r="AL64" s="13"/>
      <c r="AM64" s="14"/>
      <c r="CI64" s="14"/>
      <c r="CJ64" s="49"/>
      <c r="CK64" s="50"/>
      <c r="CL64" s="14"/>
      <c r="CM64" s="49"/>
      <c r="CN64" s="50"/>
      <c r="CO64" s="14"/>
      <c r="CP64" s="49"/>
      <c r="CQ64" s="50"/>
      <c r="CR64" s="14"/>
      <c r="CS64" s="49"/>
      <c r="CT64" s="50"/>
      <c r="CU64" s="14"/>
      <c r="CV64" s="49"/>
      <c r="CW64" s="50"/>
      <c r="CX64" s="14"/>
      <c r="CY64" s="49"/>
      <c r="CZ64" s="50"/>
      <c r="DA64" s="14"/>
      <c r="DB64" s="49"/>
      <c r="DC64" s="50"/>
      <c r="DD64" s="14"/>
      <c r="DE64" s="49"/>
      <c r="DF64" s="50"/>
      <c r="DG64" s="14"/>
      <c r="DH64" s="49"/>
      <c r="DI64" s="50"/>
      <c r="GC64" s="13"/>
      <c r="GD64" s="13"/>
      <c r="GE64" s="13"/>
      <c r="GF64" s="14"/>
      <c r="GH64" s="13"/>
      <c r="GI64" s="13"/>
      <c r="GJ64" s="13"/>
      <c r="GK64" s="85"/>
      <c r="GZ64" s="13"/>
      <c r="HA64" s="13"/>
      <c r="HB64" s="58"/>
      <c r="HC64" s="14"/>
      <c r="HD64" s="13"/>
      <c r="HE64" s="13"/>
      <c r="HF64" s="58"/>
      <c r="HG64" s="14"/>
      <c r="HH64" s="13"/>
      <c r="HI64" s="13"/>
      <c r="HJ64" s="58"/>
      <c r="HK64" s="14"/>
    </row>
    <row r="65" spans="1:193" ht="15.75" customHeight="1" x14ac:dyDescent="0.15">
      <c r="A65" s="3">
        <v>0</v>
      </c>
      <c r="B65" s="3">
        <v>0</v>
      </c>
      <c r="C65" s="34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N65" s="14"/>
      <c r="T65" s="59" t="s">
        <v>365</v>
      </c>
      <c r="U65" s="59" t="s">
        <v>366</v>
      </c>
      <c r="V65" s="60">
        <f>COUNTIF(F:F,"=930")</f>
        <v>0</v>
      </c>
      <c r="AI65" s="65"/>
      <c r="AJ65" s="65"/>
      <c r="AK65" s="13"/>
      <c r="AL65" s="13"/>
      <c r="AM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GC65" s="13"/>
      <c r="GD65" s="13"/>
      <c r="GE65" s="13"/>
      <c r="GF65" s="13"/>
      <c r="GG65" s="14"/>
      <c r="GH65" s="13"/>
      <c r="GI65" s="13"/>
      <c r="GJ65" s="13"/>
      <c r="GK65" s="14"/>
    </row>
    <row r="66" spans="1:193" ht="15.75" customHeight="1" x14ac:dyDescent="0.15">
      <c r="A66" s="3">
        <v>0</v>
      </c>
      <c r="B66" s="3">
        <v>0</v>
      </c>
      <c r="C66" s="34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N66" s="14"/>
      <c r="T66" s="59" t="s">
        <v>367</v>
      </c>
      <c r="U66" s="59" t="s">
        <v>368</v>
      </c>
      <c r="V66" s="60">
        <f>COUNTIF(F:F,"=940")</f>
        <v>0</v>
      </c>
      <c r="AI66" s="14"/>
      <c r="AJ66" s="14"/>
      <c r="AK66" s="13"/>
      <c r="AL66" s="13"/>
      <c r="AM66" s="14"/>
      <c r="CI66" s="14"/>
      <c r="CJ66" s="49"/>
      <c r="CK66" s="50"/>
      <c r="CL66" s="14"/>
      <c r="CM66" s="49"/>
      <c r="CN66" s="50"/>
      <c r="CO66" s="14"/>
      <c r="CP66" s="49"/>
      <c r="CQ66" s="50"/>
      <c r="CR66" s="14"/>
      <c r="CS66" s="49"/>
      <c r="CT66" s="50"/>
      <c r="CU66" s="14"/>
      <c r="CV66" s="49"/>
      <c r="CW66" s="50"/>
      <c r="CX66" s="14"/>
      <c r="CY66" s="49"/>
      <c r="CZ66" s="50"/>
      <c r="DA66" s="14"/>
      <c r="DB66" s="49"/>
      <c r="DC66" s="50"/>
      <c r="DD66" s="14"/>
      <c r="DE66" s="49"/>
      <c r="DF66" s="50"/>
      <c r="DG66" s="14"/>
      <c r="DH66" s="49"/>
      <c r="DI66" s="50"/>
      <c r="GC66" s="13"/>
      <c r="GD66" s="13"/>
      <c r="GE66" s="13"/>
      <c r="GF66" s="14"/>
      <c r="GH66" s="13"/>
      <c r="GI66" s="13"/>
      <c r="GJ66" s="13"/>
      <c r="GK66" s="85"/>
    </row>
    <row r="67" spans="1:193" ht="15.75" customHeight="1" x14ac:dyDescent="0.15">
      <c r="A67" s="3">
        <v>0</v>
      </c>
      <c r="B67" s="3">
        <v>0</v>
      </c>
      <c r="C67" s="34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N67" s="14"/>
      <c r="T67" s="1" t="s">
        <v>369</v>
      </c>
      <c r="U67" s="1"/>
      <c r="V67" s="55"/>
      <c r="AI67" s="65"/>
      <c r="AJ67" s="65"/>
      <c r="AK67" s="13"/>
      <c r="AL67" s="13"/>
      <c r="AM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GC67" s="13"/>
      <c r="GD67" s="13"/>
      <c r="GE67" s="13"/>
      <c r="GF67" s="13"/>
      <c r="GG67" s="14"/>
      <c r="GH67" s="13"/>
      <c r="GI67" s="13"/>
      <c r="GJ67" s="13"/>
      <c r="GK67" s="14"/>
    </row>
    <row r="68" spans="1:193" ht="15.75" customHeight="1" x14ac:dyDescent="0.15">
      <c r="A68" s="3">
        <v>0</v>
      </c>
      <c r="B68" s="3">
        <v>0</v>
      </c>
      <c r="C68" s="34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N68" s="14"/>
      <c r="T68" s="59" t="s">
        <v>370</v>
      </c>
      <c r="U68" s="59" t="s">
        <v>371</v>
      </c>
      <c r="V68" s="60">
        <f>COUNTIF(F:F,"=1010")</f>
        <v>0</v>
      </c>
      <c r="AI68" s="14"/>
      <c r="AJ68" s="14"/>
      <c r="AK68" s="13"/>
      <c r="AL68" s="13"/>
      <c r="AM68" s="14"/>
      <c r="CI68" s="14"/>
      <c r="CJ68" s="49"/>
      <c r="CK68" s="50"/>
      <c r="CL68" s="14"/>
      <c r="CM68" s="49"/>
      <c r="CN68" s="50"/>
      <c r="CO68" s="14"/>
      <c r="CP68" s="49"/>
      <c r="CQ68" s="50"/>
      <c r="CR68" s="14"/>
      <c r="CS68" s="49"/>
      <c r="CT68" s="50"/>
      <c r="CU68" s="14"/>
      <c r="CV68" s="49"/>
      <c r="CW68" s="50"/>
      <c r="CX68" s="14"/>
      <c r="CY68" s="49"/>
      <c r="CZ68" s="50"/>
      <c r="DA68" s="14"/>
      <c r="DB68" s="49"/>
      <c r="DC68" s="50"/>
      <c r="DD68" s="14"/>
      <c r="DE68" s="49"/>
      <c r="DF68" s="50"/>
      <c r="DG68" s="14"/>
      <c r="DH68" s="49"/>
      <c r="DI68" s="50"/>
      <c r="GC68" s="13"/>
      <c r="GD68" s="13"/>
      <c r="GE68" s="13"/>
      <c r="GF68" s="14"/>
    </row>
    <row r="69" spans="1:193" ht="15.75" customHeight="1" x14ac:dyDescent="0.15">
      <c r="A69" s="3">
        <v>0</v>
      </c>
      <c r="B69" s="3">
        <v>0</v>
      </c>
      <c r="C69" s="34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N69" s="14"/>
      <c r="T69" s="59" t="s">
        <v>372</v>
      </c>
      <c r="U69" s="59" t="s">
        <v>373</v>
      </c>
      <c r="V69" s="60">
        <f>COUNTIF(F:F,"=1020")</f>
        <v>0</v>
      </c>
      <c r="AI69" s="65"/>
      <c r="AJ69" s="65"/>
      <c r="AK69" s="13"/>
      <c r="AL69" s="13"/>
      <c r="AM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GC69" s="13"/>
      <c r="GD69" s="13"/>
      <c r="GE69" s="13"/>
      <c r="GF69" s="13"/>
      <c r="GG69" s="14"/>
    </row>
    <row r="70" spans="1:193" ht="15.75" customHeight="1" x14ac:dyDescent="0.15">
      <c r="A70" s="3">
        <v>0</v>
      </c>
      <c r="B70" s="3">
        <v>0</v>
      </c>
      <c r="C70" s="34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T70" s="59" t="s">
        <v>374</v>
      </c>
      <c r="U70" s="59" t="s">
        <v>375</v>
      </c>
      <c r="V70" s="60">
        <f>COUNTIF(F:F,"=1030")</f>
        <v>0</v>
      </c>
      <c r="AI70" s="14"/>
      <c r="AJ70" s="14"/>
      <c r="AK70" s="13"/>
      <c r="AL70" s="13"/>
      <c r="AM70" s="14"/>
      <c r="CI70" s="14"/>
      <c r="CJ70" s="49"/>
      <c r="CK70" s="50"/>
      <c r="CL70" s="14"/>
      <c r="CM70" s="49"/>
      <c r="CN70" s="50"/>
      <c r="CO70" s="14"/>
      <c r="CP70" s="49"/>
      <c r="CQ70" s="50"/>
      <c r="CR70" s="14"/>
      <c r="CS70" s="49"/>
      <c r="CT70" s="50"/>
      <c r="CU70" s="14"/>
      <c r="CV70" s="49"/>
      <c r="CW70" s="50"/>
      <c r="CX70" s="14"/>
      <c r="CY70" s="49"/>
      <c r="CZ70" s="50"/>
      <c r="DA70" s="14"/>
      <c r="DB70" s="49"/>
      <c r="DC70" s="50"/>
      <c r="DD70" s="14"/>
      <c r="DE70" s="49"/>
      <c r="DF70" s="50"/>
      <c r="DG70" s="14"/>
      <c r="DH70" s="49"/>
      <c r="DI70" s="50"/>
      <c r="GC70" s="13"/>
      <c r="GD70" s="13"/>
      <c r="GE70" s="13"/>
      <c r="GF70" s="14"/>
    </row>
    <row r="71" spans="1:193" ht="15.75" customHeight="1" x14ac:dyDescent="0.15">
      <c r="A71" s="3">
        <v>0</v>
      </c>
      <c r="B71" s="3">
        <v>0</v>
      </c>
      <c r="C71" s="34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T71" s="59" t="s">
        <v>376</v>
      </c>
      <c r="U71" s="59" t="s">
        <v>377</v>
      </c>
      <c r="V71" s="60">
        <f>COUNTIF(F:F,"=1040")</f>
        <v>0</v>
      </c>
      <c r="AI71" s="65"/>
      <c r="AJ71" s="65"/>
      <c r="AK71" s="13"/>
      <c r="AL71" s="13"/>
      <c r="AM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GC71" s="13"/>
      <c r="GD71" s="13"/>
      <c r="GE71" s="13"/>
      <c r="GF71" s="13"/>
      <c r="GG71" s="14"/>
    </row>
    <row r="72" spans="1:193" ht="15.75" customHeight="1" x14ac:dyDescent="0.15">
      <c r="A72" s="3">
        <v>0</v>
      </c>
      <c r="B72" s="3">
        <v>0</v>
      </c>
      <c r="C72" s="34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T72" s="59" t="s">
        <v>378</v>
      </c>
      <c r="U72" s="59" t="s">
        <v>379</v>
      </c>
      <c r="V72" s="60">
        <f>COUNTIF(F:F,"=1050")</f>
        <v>0</v>
      </c>
      <c r="AI72" s="14"/>
      <c r="AJ72" s="14"/>
      <c r="AK72" s="13"/>
      <c r="AL72" s="13"/>
      <c r="AM72" s="14"/>
      <c r="CI72" s="14"/>
      <c r="CJ72" s="49"/>
      <c r="CK72" s="50"/>
      <c r="CL72" s="14"/>
      <c r="CM72" s="49"/>
      <c r="CN72" s="50"/>
      <c r="CO72" s="14"/>
      <c r="CP72" s="49"/>
      <c r="CQ72" s="50"/>
      <c r="CR72" s="14"/>
      <c r="CS72" s="49"/>
      <c r="CT72" s="50"/>
      <c r="CU72" s="14"/>
      <c r="CV72" s="49"/>
      <c r="CW72" s="50"/>
      <c r="CX72" s="14"/>
      <c r="CY72" s="49"/>
      <c r="CZ72" s="50"/>
      <c r="DA72" s="14"/>
      <c r="DB72" s="49"/>
      <c r="DC72" s="50"/>
      <c r="DD72" s="14"/>
      <c r="DE72" s="49"/>
      <c r="DF72" s="50"/>
      <c r="DG72" s="14"/>
      <c r="DH72" s="49"/>
      <c r="DI72" s="50"/>
      <c r="GB72" s="14"/>
      <c r="GC72" s="13"/>
      <c r="GD72" s="13"/>
      <c r="GE72" s="13"/>
      <c r="GF72" s="14"/>
    </row>
    <row r="73" spans="1:193" ht="15.75" customHeight="1" x14ac:dyDescent="0.15">
      <c r="A73" s="3">
        <v>0</v>
      </c>
      <c r="B73" s="3">
        <v>0</v>
      </c>
      <c r="C73" s="34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T73" s="1" t="s">
        <v>380</v>
      </c>
      <c r="U73" s="1"/>
      <c r="V73" s="55"/>
      <c r="AI73" s="65"/>
      <c r="AJ73" s="65"/>
      <c r="AK73" s="13"/>
      <c r="AL73" s="13"/>
      <c r="AM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GB73" s="14"/>
      <c r="GC73" s="13"/>
      <c r="GD73" s="13"/>
      <c r="GE73" s="13"/>
      <c r="GF73" s="13"/>
      <c r="GG73" s="14"/>
    </row>
    <row r="74" spans="1:193" ht="15.75" customHeight="1" x14ac:dyDescent="0.15">
      <c r="A74" s="3">
        <v>0</v>
      </c>
      <c r="B74" s="3">
        <v>0</v>
      </c>
      <c r="C74" s="34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T74" s="59" t="s">
        <v>381</v>
      </c>
      <c r="U74" s="59" t="s">
        <v>382</v>
      </c>
      <c r="V74" s="60">
        <f>COUNTIF(F:F,"=1110")</f>
        <v>0</v>
      </c>
      <c r="AI74" s="14"/>
      <c r="AJ74" s="14"/>
      <c r="AK74" s="13"/>
      <c r="AL74" s="13"/>
      <c r="AM74" s="14"/>
      <c r="CI74" s="14"/>
      <c r="CJ74" s="49"/>
      <c r="CK74" s="50"/>
      <c r="CL74" s="14"/>
      <c r="CM74" s="49"/>
      <c r="CN74" s="50"/>
      <c r="CO74" s="14"/>
      <c r="CP74" s="49"/>
      <c r="CQ74" s="50"/>
      <c r="CR74" s="14"/>
      <c r="CS74" s="49"/>
      <c r="CT74" s="50"/>
      <c r="CU74" s="14"/>
      <c r="CV74" s="49"/>
      <c r="CW74" s="50"/>
      <c r="CX74" s="14"/>
      <c r="CY74" s="49"/>
      <c r="CZ74" s="50"/>
      <c r="DA74" s="14"/>
      <c r="DB74" s="49"/>
      <c r="DC74" s="50"/>
      <c r="DD74" s="14"/>
      <c r="DE74" s="49"/>
      <c r="DF74" s="50"/>
      <c r="DG74" s="14"/>
      <c r="DH74" s="49"/>
      <c r="DI74" s="50"/>
      <c r="GB74" s="14"/>
      <c r="GC74" s="13"/>
      <c r="GD74" s="13"/>
      <c r="GE74" s="13"/>
      <c r="GF74" s="14"/>
    </row>
    <row r="75" spans="1:193" ht="15.75" customHeight="1" x14ac:dyDescent="0.15">
      <c r="A75" s="3">
        <v>0</v>
      </c>
      <c r="B75" s="3">
        <v>0</v>
      </c>
      <c r="C75" s="34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T75" s="59" t="s">
        <v>383</v>
      </c>
      <c r="U75" s="59" t="s">
        <v>384</v>
      </c>
      <c r="V75" s="60">
        <f>COUNTIF(F:F,"=1120")</f>
        <v>0</v>
      </c>
      <c r="AI75" s="65"/>
      <c r="AJ75" s="65"/>
      <c r="AK75" s="13"/>
      <c r="AL75" s="13"/>
      <c r="AM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GB75" s="14"/>
      <c r="GC75" s="13"/>
      <c r="GD75" s="13"/>
      <c r="GE75" s="13"/>
      <c r="GF75" s="13"/>
      <c r="GG75" s="14"/>
    </row>
    <row r="76" spans="1:193" ht="15.75" customHeight="1" x14ac:dyDescent="0.15">
      <c r="A76" s="3">
        <v>0</v>
      </c>
      <c r="B76" s="3">
        <v>0</v>
      </c>
      <c r="C76" s="34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T76" s="59" t="s">
        <v>385</v>
      </c>
      <c r="U76" s="59" t="s">
        <v>386</v>
      </c>
      <c r="V76" s="60">
        <f>COUNTIF(F:F,"=1130")</f>
        <v>2</v>
      </c>
      <c r="AI76" s="14"/>
      <c r="AJ76" s="14"/>
      <c r="AK76" s="13"/>
      <c r="AL76" s="13"/>
      <c r="AM76" s="14"/>
      <c r="CI76" s="14"/>
      <c r="CJ76" s="49"/>
      <c r="CK76" s="50"/>
      <c r="CL76" s="14"/>
      <c r="CM76" s="49"/>
      <c r="CN76" s="50"/>
      <c r="CO76" s="14"/>
      <c r="CP76" s="49"/>
      <c r="CQ76" s="50"/>
      <c r="CR76" s="14"/>
      <c r="CS76" s="49"/>
      <c r="CT76" s="50"/>
      <c r="CU76" s="14"/>
      <c r="CV76" s="49"/>
      <c r="CW76" s="50"/>
      <c r="CX76" s="14"/>
      <c r="CY76" s="49"/>
      <c r="CZ76" s="50"/>
      <c r="DA76" s="14"/>
      <c r="DB76" s="49"/>
      <c r="DC76" s="50"/>
      <c r="DD76" s="14"/>
      <c r="DE76" s="49"/>
      <c r="DF76" s="50"/>
      <c r="DG76" s="14"/>
      <c r="DH76" s="49"/>
      <c r="DI76" s="50"/>
      <c r="GB76" s="14"/>
      <c r="GC76" s="13"/>
      <c r="GD76" s="13"/>
      <c r="GE76" s="13"/>
      <c r="GF76" s="14"/>
    </row>
    <row r="77" spans="1:193" ht="15.75" customHeight="1" x14ac:dyDescent="0.15">
      <c r="A77" s="3">
        <v>0</v>
      </c>
      <c r="B77" s="3">
        <v>0</v>
      </c>
      <c r="C77" s="34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T77" s="59" t="s">
        <v>387</v>
      </c>
      <c r="U77" s="59" t="s">
        <v>388</v>
      </c>
      <c r="V77" s="60">
        <f>COUNTIF(F:F,"=1140")</f>
        <v>0</v>
      </c>
      <c r="AI77" s="65"/>
      <c r="AJ77" s="65"/>
      <c r="AK77" s="13"/>
      <c r="AL77" s="13"/>
      <c r="AM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GB77" s="14"/>
      <c r="GC77" s="13"/>
      <c r="GD77" s="13"/>
      <c r="GE77" s="13"/>
      <c r="GF77" s="13"/>
      <c r="GG77" s="14"/>
    </row>
    <row r="78" spans="1:193" ht="15.75" customHeight="1" x14ac:dyDescent="0.15">
      <c r="A78" s="3">
        <v>0</v>
      </c>
      <c r="B78" s="3">
        <v>0</v>
      </c>
      <c r="C78" s="34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T78" s="59" t="s">
        <v>389</v>
      </c>
      <c r="U78" s="59" t="s">
        <v>390</v>
      </c>
      <c r="V78" s="60">
        <f>COUNTIF(F:F,"=1150")</f>
        <v>0</v>
      </c>
      <c r="AI78" s="14"/>
      <c r="AJ78" s="14"/>
      <c r="AK78" s="13"/>
      <c r="AL78" s="13"/>
      <c r="AM78" s="14"/>
      <c r="CI78" s="14"/>
      <c r="CJ78" s="49"/>
      <c r="CK78" s="50"/>
      <c r="CL78" s="14"/>
      <c r="CM78" s="49"/>
      <c r="CN78" s="50"/>
      <c r="CO78" s="14"/>
      <c r="CP78" s="49"/>
      <c r="CQ78" s="50"/>
      <c r="CR78" s="14"/>
      <c r="CS78" s="49"/>
      <c r="CT78" s="50"/>
      <c r="CU78" s="14"/>
      <c r="CV78" s="49"/>
      <c r="CW78" s="50"/>
      <c r="CX78" s="14"/>
      <c r="CY78" s="49"/>
      <c r="CZ78" s="50"/>
      <c r="DA78" s="14"/>
      <c r="DB78" s="49"/>
      <c r="DC78" s="50"/>
      <c r="DD78" s="14"/>
      <c r="DE78" s="49"/>
      <c r="DF78" s="50"/>
      <c r="DG78" s="14"/>
      <c r="DH78" s="49"/>
      <c r="DI78" s="50"/>
      <c r="GB78" s="14"/>
      <c r="GC78" s="13"/>
      <c r="GD78" s="13"/>
      <c r="GE78" s="13"/>
      <c r="GF78" s="14"/>
    </row>
    <row r="79" spans="1:193" ht="15.75" customHeight="1" x14ac:dyDescent="0.15">
      <c r="A79" s="3">
        <v>0</v>
      </c>
      <c r="B79" s="3">
        <v>0</v>
      </c>
      <c r="C79" s="34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T79" s="59" t="s">
        <v>391</v>
      </c>
      <c r="U79" s="59" t="s">
        <v>392</v>
      </c>
      <c r="V79" s="60">
        <f>COUNTIF(F:F,"=1160")</f>
        <v>0</v>
      </c>
      <c r="AI79" s="65"/>
      <c r="AJ79" s="65"/>
      <c r="AK79" s="13"/>
      <c r="AL79" s="13"/>
      <c r="AM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GB79" s="14"/>
      <c r="GC79" s="13"/>
      <c r="GD79" s="13"/>
      <c r="GE79" s="13"/>
      <c r="GF79" s="13"/>
      <c r="GG79" s="14"/>
    </row>
    <row r="80" spans="1:193" ht="15.75" customHeight="1" x14ac:dyDescent="0.15">
      <c r="A80" s="3">
        <v>0</v>
      </c>
      <c r="B80" s="3">
        <v>0</v>
      </c>
      <c r="C80" s="34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T80" s="1" t="s">
        <v>393</v>
      </c>
      <c r="U80" s="1"/>
      <c r="V80" s="55"/>
      <c r="AI80" s="14"/>
      <c r="AJ80" s="14"/>
      <c r="AK80" s="13"/>
      <c r="AL80" s="13"/>
      <c r="AM80" s="14"/>
      <c r="CI80" s="14"/>
      <c r="CJ80" s="49"/>
      <c r="CK80" s="50"/>
      <c r="CL80" s="14"/>
      <c r="CM80" s="49"/>
      <c r="CN80" s="50"/>
      <c r="CO80" s="14"/>
      <c r="CP80" s="49"/>
      <c r="CQ80" s="50"/>
      <c r="CR80" s="14"/>
      <c r="CS80" s="49"/>
      <c r="CT80" s="50"/>
      <c r="CU80" s="14"/>
      <c r="CV80" s="49"/>
      <c r="CW80" s="50"/>
      <c r="CX80" s="14"/>
      <c r="CY80" s="49"/>
      <c r="CZ80" s="50"/>
      <c r="DA80" s="14"/>
      <c r="DB80" s="49"/>
      <c r="DC80" s="50"/>
      <c r="DD80" s="14"/>
      <c r="DE80" s="49"/>
      <c r="DF80" s="50"/>
      <c r="DG80" s="14"/>
      <c r="DH80" s="49"/>
      <c r="DI80" s="50"/>
      <c r="GB80" s="14"/>
      <c r="GC80" s="13"/>
      <c r="GD80" s="13"/>
      <c r="GE80" s="13"/>
      <c r="GF80" s="14"/>
    </row>
    <row r="81" spans="1:189" ht="15.75" customHeight="1" x14ac:dyDescent="0.15">
      <c r="A81" s="3">
        <v>0</v>
      </c>
      <c r="B81" s="3">
        <v>0</v>
      </c>
      <c r="C81" s="34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T81" s="59" t="s">
        <v>394</v>
      </c>
      <c r="U81" s="59" t="s">
        <v>395</v>
      </c>
      <c r="V81" s="60">
        <f>COUNTIF(F:F,"=1210")</f>
        <v>0</v>
      </c>
      <c r="AI81" s="65"/>
      <c r="AJ81" s="65"/>
      <c r="AK81" s="13"/>
      <c r="AL81" s="13"/>
      <c r="AM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GB81" s="14"/>
      <c r="GC81" s="13"/>
      <c r="GD81" s="13"/>
      <c r="GE81" s="13"/>
      <c r="GF81" s="13"/>
      <c r="GG81" s="14"/>
    </row>
    <row r="82" spans="1:189" ht="15.75" customHeight="1" x14ac:dyDescent="0.15">
      <c r="A82" s="3">
        <v>0</v>
      </c>
      <c r="B82" s="3">
        <v>0</v>
      </c>
      <c r="C82" s="34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T82" s="59" t="s">
        <v>396</v>
      </c>
      <c r="U82" s="59" t="s">
        <v>397</v>
      </c>
      <c r="V82" s="60">
        <f>COUNTIF(F:F,"=1220")</f>
        <v>0</v>
      </c>
      <c r="AI82" s="14"/>
      <c r="AJ82" s="14"/>
      <c r="AK82" s="13"/>
      <c r="AL82" s="13"/>
      <c r="AM82" s="14"/>
      <c r="CI82" s="14"/>
      <c r="CJ82" s="49"/>
      <c r="CK82" s="50"/>
      <c r="CL82" s="14"/>
      <c r="CM82" s="49"/>
      <c r="CN82" s="50"/>
      <c r="CO82" s="14"/>
      <c r="CP82" s="49"/>
      <c r="CQ82" s="50"/>
      <c r="CR82" s="14"/>
      <c r="CS82" s="49"/>
      <c r="CT82" s="50"/>
      <c r="CU82" s="14"/>
      <c r="CV82" s="49"/>
      <c r="CW82" s="50"/>
      <c r="CX82" s="14"/>
      <c r="CY82" s="49"/>
      <c r="CZ82" s="50"/>
      <c r="DA82" s="14"/>
      <c r="DB82" s="49"/>
      <c r="DC82" s="50"/>
      <c r="DD82" s="14"/>
      <c r="DE82" s="49"/>
      <c r="DF82" s="50"/>
      <c r="DG82" s="14"/>
      <c r="DH82" s="49"/>
      <c r="DI82" s="50"/>
      <c r="GB82" s="14"/>
      <c r="GC82" s="13"/>
      <c r="GD82" s="13"/>
      <c r="GE82" s="13"/>
      <c r="GF82" s="14"/>
    </row>
    <row r="83" spans="1:189" ht="15.75" customHeight="1" x14ac:dyDescent="0.15">
      <c r="A83" s="3">
        <v>0</v>
      </c>
      <c r="B83" s="3">
        <v>0</v>
      </c>
      <c r="C83" s="34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T83" s="59" t="s">
        <v>398</v>
      </c>
      <c r="U83" s="59" t="s">
        <v>399</v>
      </c>
      <c r="V83" s="60">
        <f>COUNTIF(F:F,"=1230")</f>
        <v>0</v>
      </c>
      <c r="AI83" s="65"/>
      <c r="AJ83" s="65"/>
      <c r="AK83" s="13"/>
      <c r="AL83" s="13"/>
      <c r="AM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GB83" s="14"/>
      <c r="GC83" s="13"/>
      <c r="GD83" s="13"/>
      <c r="GE83" s="13"/>
      <c r="GF83" s="13"/>
      <c r="GG83" s="14"/>
    </row>
    <row r="84" spans="1:189" ht="15.75" customHeight="1" x14ac:dyDescent="0.15">
      <c r="A84" s="3">
        <v>0</v>
      </c>
      <c r="B84" s="3">
        <v>0</v>
      </c>
      <c r="C84" s="34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T84" s="59" t="s">
        <v>400</v>
      </c>
      <c r="U84" s="59" t="s">
        <v>401</v>
      </c>
      <c r="V84" s="60">
        <f>COUNTIF(F:F,"=1240")</f>
        <v>0</v>
      </c>
      <c r="AI84" s="14"/>
      <c r="AJ84" s="14"/>
      <c r="AK84" s="13"/>
      <c r="AL84" s="13"/>
      <c r="AM84" s="14"/>
      <c r="CI84" s="14"/>
      <c r="CJ84" s="49"/>
      <c r="CK84" s="50"/>
      <c r="CL84" s="14"/>
      <c r="CM84" s="49"/>
      <c r="CN84" s="50"/>
      <c r="CO84" s="14"/>
      <c r="CP84" s="49"/>
      <c r="CQ84" s="50"/>
      <c r="CR84" s="14"/>
      <c r="CS84" s="49"/>
      <c r="CT84" s="50"/>
      <c r="CU84" s="14"/>
      <c r="CV84" s="49"/>
      <c r="CW84" s="50"/>
      <c r="CX84" s="14"/>
      <c r="CY84" s="49"/>
      <c r="CZ84" s="50"/>
      <c r="DA84" s="14"/>
      <c r="DB84" s="49"/>
      <c r="DC84" s="50"/>
      <c r="DD84" s="14"/>
      <c r="DE84" s="49"/>
      <c r="DF84" s="50"/>
      <c r="DG84" s="14"/>
      <c r="DH84" s="49"/>
      <c r="DI84" s="50"/>
      <c r="GC84" s="13"/>
      <c r="GD84" s="13"/>
      <c r="GE84" s="13"/>
      <c r="GF84" s="14"/>
    </row>
    <row r="85" spans="1:189" ht="15.75" customHeight="1" x14ac:dyDescent="0.15">
      <c r="A85" s="3">
        <v>0</v>
      </c>
      <c r="B85" s="3">
        <v>0</v>
      </c>
      <c r="C85" s="34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T85" s="1" t="s">
        <v>402</v>
      </c>
      <c r="U85" s="1"/>
      <c r="V85" s="55"/>
      <c r="AI85" s="65"/>
      <c r="AJ85" s="65"/>
      <c r="AK85" s="13"/>
      <c r="AL85" s="13"/>
      <c r="AM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GC85" s="13"/>
      <c r="GD85" s="13"/>
      <c r="GE85" s="13"/>
      <c r="GF85" s="13"/>
      <c r="GG85" s="14"/>
    </row>
    <row r="86" spans="1:189" ht="15.75" customHeight="1" x14ac:dyDescent="0.15">
      <c r="A86" s="3">
        <v>0</v>
      </c>
      <c r="B86" s="3">
        <v>0</v>
      </c>
      <c r="C86" s="34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T86" s="59" t="s">
        <v>403</v>
      </c>
      <c r="U86" s="59" t="s">
        <v>404</v>
      </c>
      <c r="V86" s="60">
        <f>COUNTIF(F:F,"=1310")</f>
        <v>0</v>
      </c>
      <c r="AI86" s="14"/>
      <c r="AJ86" s="14"/>
      <c r="AK86" s="13"/>
      <c r="AL86" s="13"/>
      <c r="AM86" s="14"/>
      <c r="CI86" s="14"/>
      <c r="CJ86" s="49"/>
      <c r="CK86" s="50"/>
      <c r="CL86" s="14"/>
      <c r="CM86" s="49"/>
      <c r="CN86" s="50"/>
      <c r="CO86" s="14"/>
      <c r="CP86" s="49"/>
      <c r="CQ86" s="50"/>
      <c r="CR86" s="14"/>
      <c r="CS86" s="49"/>
      <c r="CT86" s="50"/>
      <c r="CU86" s="14"/>
      <c r="CV86" s="49"/>
      <c r="CW86" s="50"/>
      <c r="CX86" s="14"/>
      <c r="CY86" s="49"/>
      <c r="CZ86" s="50"/>
      <c r="DA86" s="14"/>
      <c r="DB86" s="49"/>
      <c r="DC86" s="50"/>
      <c r="DD86" s="14"/>
      <c r="DE86" s="49"/>
      <c r="DF86" s="50"/>
      <c r="DG86" s="14"/>
      <c r="DH86" s="49"/>
      <c r="DI86" s="50"/>
      <c r="GC86" s="13"/>
      <c r="GD86" s="13"/>
      <c r="GE86" s="13"/>
      <c r="GF86" s="14"/>
    </row>
    <row r="87" spans="1:189" ht="15.75" customHeight="1" x14ac:dyDescent="0.15">
      <c r="A87" s="3">
        <v>0</v>
      </c>
      <c r="B87" s="3">
        <v>0</v>
      </c>
      <c r="C87" s="34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T87" s="59" t="s">
        <v>405</v>
      </c>
      <c r="U87" s="59" t="s">
        <v>406</v>
      </c>
      <c r="V87" s="60">
        <f>COUNTIF(F:F,"=1320")</f>
        <v>0</v>
      </c>
      <c r="AI87" s="65"/>
      <c r="AJ87" s="65"/>
      <c r="AK87" s="13"/>
      <c r="AL87" s="13"/>
      <c r="AM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GC87" s="13"/>
      <c r="GD87" s="13"/>
      <c r="GE87" s="13"/>
      <c r="GF87" s="13"/>
      <c r="GG87" s="14"/>
    </row>
    <row r="88" spans="1:189" ht="15.75" customHeight="1" x14ac:dyDescent="0.15">
      <c r="A88" s="3">
        <v>0</v>
      </c>
      <c r="B88" s="3">
        <v>0</v>
      </c>
      <c r="C88" s="34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T88" s="59" t="s">
        <v>407</v>
      </c>
      <c r="U88" s="59" t="s">
        <v>408</v>
      </c>
      <c r="V88" s="60">
        <f>COUNTIF(F:F,"=1330")</f>
        <v>0</v>
      </c>
      <c r="CI88" s="14"/>
      <c r="CJ88" s="49"/>
      <c r="CK88" s="50"/>
      <c r="CL88" s="14"/>
      <c r="CM88" s="49"/>
      <c r="CN88" s="50"/>
      <c r="CO88" s="14"/>
      <c r="CP88" s="49"/>
      <c r="CQ88" s="50"/>
      <c r="CR88" s="14"/>
      <c r="CS88" s="49"/>
      <c r="CT88" s="50"/>
      <c r="CU88" s="14"/>
      <c r="CV88" s="49"/>
      <c r="CW88" s="50"/>
      <c r="CX88" s="14"/>
      <c r="CY88" s="49"/>
      <c r="CZ88" s="50"/>
      <c r="DA88" s="14"/>
      <c r="DB88" s="49"/>
      <c r="DC88" s="50"/>
      <c r="DD88" s="14"/>
      <c r="DE88" s="49"/>
      <c r="DF88" s="50"/>
      <c r="DG88" s="14"/>
      <c r="DH88" s="49"/>
      <c r="DI88" s="50"/>
      <c r="GB88" s="14"/>
      <c r="GC88" s="13"/>
      <c r="GD88" s="13"/>
      <c r="GE88" s="13"/>
      <c r="GF88" s="14"/>
    </row>
    <row r="89" spans="1:189" ht="15.75" customHeight="1" x14ac:dyDescent="0.15">
      <c r="A89" s="3">
        <v>0</v>
      </c>
      <c r="B89" s="3">
        <v>0</v>
      </c>
      <c r="C89" s="34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T89" s="59" t="s">
        <v>409</v>
      </c>
      <c r="U89" s="59" t="s">
        <v>410</v>
      </c>
      <c r="V89" s="60">
        <f>COUNTIF(F:F,"=1340")</f>
        <v>0</v>
      </c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GB89" s="14"/>
      <c r="GC89" s="13"/>
      <c r="GD89" s="13"/>
      <c r="GE89" s="13"/>
      <c r="GF89" s="13"/>
      <c r="GG89" s="14"/>
    </row>
    <row r="90" spans="1:189" ht="15.75" customHeight="1" x14ac:dyDescent="0.15">
      <c r="A90" s="3">
        <v>0</v>
      </c>
      <c r="B90" s="3">
        <v>0</v>
      </c>
      <c r="C90" s="34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T90" s="59" t="s">
        <v>411</v>
      </c>
      <c r="U90" s="59" t="s">
        <v>412</v>
      </c>
      <c r="V90" s="60">
        <f>COUNTIF(F:F,"=1350")</f>
        <v>0</v>
      </c>
      <c r="CI90" s="14"/>
      <c r="CJ90" s="49"/>
      <c r="CK90" s="50"/>
      <c r="CL90" s="14"/>
      <c r="CM90" s="49"/>
      <c r="CN90" s="50"/>
      <c r="CO90" s="14"/>
      <c r="CP90" s="49"/>
      <c r="CQ90" s="50"/>
      <c r="CR90" s="14"/>
      <c r="CS90" s="49"/>
      <c r="CT90" s="50"/>
      <c r="CU90" s="14"/>
      <c r="CV90" s="49"/>
      <c r="CW90" s="50"/>
      <c r="CX90" s="14"/>
      <c r="CY90" s="49"/>
      <c r="CZ90" s="50"/>
      <c r="DA90" s="14"/>
      <c r="DB90" s="49"/>
      <c r="DC90" s="50"/>
      <c r="DD90" s="14"/>
      <c r="DE90" s="49"/>
      <c r="DF90" s="50"/>
      <c r="DG90" s="14"/>
      <c r="DH90" s="49"/>
      <c r="DI90" s="50"/>
      <c r="GB90" s="14"/>
      <c r="GC90" s="13"/>
      <c r="GD90" s="13"/>
      <c r="GE90" s="13"/>
      <c r="GF90" s="14"/>
    </row>
    <row r="91" spans="1:189" ht="15.75" customHeight="1" x14ac:dyDescent="0.15">
      <c r="A91" s="3">
        <v>0</v>
      </c>
      <c r="B91" s="3">
        <v>0</v>
      </c>
      <c r="C91" s="34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T91" s="1" t="s">
        <v>413</v>
      </c>
      <c r="U91" s="1"/>
      <c r="V91" s="55"/>
      <c r="AM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GB91" s="14"/>
      <c r="GC91" s="13"/>
      <c r="GD91" s="13"/>
      <c r="GE91" s="13"/>
      <c r="GF91" s="13"/>
      <c r="GG91" s="14"/>
    </row>
    <row r="92" spans="1:189" ht="15.75" customHeight="1" x14ac:dyDescent="0.15">
      <c r="A92" s="3">
        <v>0</v>
      </c>
      <c r="B92" s="3">
        <v>0</v>
      </c>
      <c r="C92" s="34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T92" s="59" t="s">
        <v>976</v>
      </c>
      <c r="U92" s="59" t="s">
        <v>977</v>
      </c>
      <c r="V92" s="60">
        <f>COUNTIF(F:F,"=1410")</f>
        <v>0</v>
      </c>
      <c r="AK92" s="81"/>
      <c r="AM92" s="14"/>
      <c r="CI92" s="14"/>
      <c r="CJ92" s="49"/>
      <c r="CK92" s="50"/>
      <c r="CL92" s="14"/>
      <c r="CM92" s="49"/>
      <c r="CN92" s="50"/>
      <c r="CO92" s="14"/>
      <c r="CP92" s="49"/>
      <c r="CQ92" s="50"/>
      <c r="CR92" s="14"/>
      <c r="CS92" s="49"/>
      <c r="CT92" s="50"/>
      <c r="CU92" s="14"/>
      <c r="CV92" s="49"/>
      <c r="CW92" s="50"/>
      <c r="CX92" s="14"/>
      <c r="CY92" s="49"/>
      <c r="CZ92" s="50"/>
      <c r="DA92" s="14"/>
      <c r="DB92" s="49"/>
      <c r="DC92" s="50"/>
      <c r="DD92" s="14"/>
      <c r="DE92" s="49"/>
      <c r="DF92" s="50"/>
      <c r="DG92" s="14"/>
      <c r="DH92" s="49"/>
      <c r="DI92" s="50"/>
      <c r="GB92" s="14"/>
      <c r="GC92" s="13"/>
      <c r="GD92" s="13"/>
      <c r="GE92" s="13"/>
      <c r="GF92" s="14"/>
    </row>
    <row r="93" spans="1:189" ht="15.75" customHeight="1" x14ac:dyDescent="0.15">
      <c r="A93" s="3">
        <v>0</v>
      </c>
      <c r="B93" s="3">
        <v>0</v>
      </c>
      <c r="C93" s="34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T93" s="59" t="s">
        <v>414</v>
      </c>
      <c r="U93" s="59" t="s">
        <v>415</v>
      </c>
      <c r="V93" s="60">
        <f>COUNTIF(F:F,"=1420")</f>
        <v>0</v>
      </c>
      <c r="AI93" s="14"/>
      <c r="AJ93" s="14"/>
      <c r="AK93" s="13"/>
      <c r="AL93" s="13"/>
      <c r="AM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GB93" s="14"/>
      <c r="GC93" s="13"/>
      <c r="GD93" s="13"/>
      <c r="GE93" s="13"/>
      <c r="GF93" s="13"/>
      <c r="GG93" s="14"/>
    </row>
    <row r="94" spans="1:189" ht="15.75" customHeight="1" x14ac:dyDescent="0.15">
      <c r="A94" s="3">
        <v>0</v>
      </c>
      <c r="B94" s="3">
        <v>0</v>
      </c>
      <c r="C94" s="34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T94" s="59" t="s">
        <v>416</v>
      </c>
      <c r="U94" s="59" t="s">
        <v>417</v>
      </c>
      <c r="V94" s="60">
        <f>COUNTIF(F:F,"=1430")</f>
        <v>0</v>
      </c>
      <c r="AI94" s="65"/>
      <c r="AJ94" s="65"/>
      <c r="AK94" s="13"/>
      <c r="AL94" s="13"/>
      <c r="AM94" s="14"/>
      <c r="GB94" s="14"/>
      <c r="GC94" s="13"/>
      <c r="GD94" s="13"/>
      <c r="GE94" s="13"/>
      <c r="GF94" s="14"/>
    </row>
    <row r="95" spans="1:189" ht="15.75" customHeight="1" x14ac:dyDescent="0.15">
      <c r="A95" s="3">
        <v>0</v>
      </c>
      <c r="B95" s="3">
        <v>0</v>
      </c>
      <c r="C95" s="34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T95" s="59" t="s">
        <v>418</v>
      </c>
      <c r="U95" s="59" t="s">
        <v>419</v>
      </c>
      <c r="V95" s="60">
        <f>COUNTIF(F:F,"=1440")</f>
        <v>0</v>
      </c>
      <c r="AI95" s="14"/>
      <c r="AJ95" s="14"/>
      <c r="AK95" s="13"/>
      <c r="AL95" s="13"/>
      <c r="AM95" s="14"/>
      <c r="GB95" s="14"/>
      <c r="GC95" s="13"/>
      <c r="GD95" s="13"/>
      <c r="GE95" s="13"/>
      <c r="GF95" s="13"/>
      <c r="GG95" s="14"/>
    </row>
    <row r="96" spans="1:189" ht="15.75" customHeight="1" x14ac:dyDescent="0.15">
      <c r="A96" s="3">
        <v>0</v>
      </c>
      <c r="B96" s="3">
        <v>0</v>
      </c>
      <c r="C96" s="34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T96" s="1" t="s">
        <v>420</v>
      </c>
      <c r="U96" s="1"/>
      <c r="V96" s="55"/>
      <c r="AI96" s="65"/>
      <c r="AJ96" s="65"/>
      <c r="AK96" s="13"/>
      <c r="AL96" s="13"/>
      <c r="AM96" s="14"/>
      <c r="GB96" s="14"/>
      <c r="GC96" s="13"/>
      <c r="GD96" s="13"/>
      <c r="GE96" s="13"/>
      <c r="GF96" s="14"/>
    </row>
    <row r="97" spans="1:189" ht="15.75" customHeight="1" x14ac:dyDescent="0.15">
      <c r="A97" s="3">
        <v>0</v>
      </c>
      <c r="B97" s="3">
        <v>0</v>
      </c>
      <c r="C97" s="34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T97" s="59" t="s">
        <v>421</v>
      </c>
      <c r="U97" s="59" t="s">
        <v>422</v>
      </c>
      <c r="V97" s="60">
        <f>COUNTIF(F:F,"=1510")</f>
        <v>0</v>
      </c>
      <c r="AI97" s="14"/>
      <c r="AJ97" s="14"/>
      <c r="AK97" s="13"/>
      <c r="AL97" s="13"/>
      <c r="AM97" s="14"/>
      <c r="GB97" s="14"/>
      <c r="GC97" s="13"/>
      <c r="GD97" s="13"/>
      <c r="GE97" s="13"/>
      <c r="GF97" s="13"/>
      <c r="GG97" s="14"/>
    </row>
    <row r="98" spans="1:189" ht="15.75" customHeight="1" x14ac:dyDescent="0.15">
      <c r="A98" s="3">
        <v>0</v>
      </c>
      <c r="B98" s="3">
        <v>0</v>
      </c>
      <c r="C98" s="34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T98" s="59" t="s">
        <v>423</v>
      </c>
      <c r="U98" s="59" t="s">
        <v>424</v>
      </c>
      <c r="V98" s="60">
        <f>COUNTIF(F:F,"=1520")</f>
        <v>0</v>
      </c>
      <c r="AI98" s="65"/>
      <c r="AJ98" s="65"/>
      <c r="AK98" s="13"/>
      <c r="AL98" s="13"/>
      <c r="AM98" s="14"/>
      <c r="GB98" s="14"/>
      <c r="GC98" s="13"/>
      <c r="GD98" s="13"/>
      <c r="GE98" s="13"/>
      <c r="GF98" s="14"/>
    </row>
    <row r="99" spans="1:189" ht="15.75" customHeight="1" x14ac:dyDescent="0.15">
      <c r="A99" s="3">
        <v>0</v>
      </c>
      <c r="B99" s="3">
        <v>0</v>
      </c>
      <c r="C99" s="34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T99" s="59" t="s">
        <v>425</v>
      </c>
      <c r="U99" s="59" t="s">
        <v>426</v>
      </c>
      <c r="V99" s="60">
        <f>COUNTIF(F:F,"=1530")</f>
        <v>0</v>
      </c>
      <c r="AI99" s="14"/>
      <c r="AJ99" s="14"/>
      <c r="AK99" s="13"/>
      <c r="AL99" s="13"/>
      <c r="AM99" s="14"/>
      <c r="GB99" s="14"/>
      <c r="GC99" s="13"/>
      <c r="GD99" s="13"/>
      <c r="GE99" s="13"/>
      <c r="GF99" s="13"/>
      <c r="GG99" s="14"/>
    </row>
    <row r="100" spans="1:189" ht="15.75" customHeight="1" x14ac:dyDescent="0.15">
      <c r="A100" s="3">
        <v>0</v>
      </c>
      <c r="B100" s="3">
        <v>0</v>
      </c>
      <c r="C100" s="34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T100" s="59" t="s">
        <v>427</v>
      </c>
      <c r="U100" s="59" t="s">
        <v>428</v>
      </c>
      <c r="V100" s="60">
        <f>COUNTIF(F:F,"=1540")</f>
        <v>0</v>
      </c>
      <c r="AI100" s="65"/>
      <c r="AJ100" s="65"/>
      <c r="AK100" s="13"/>
      <c r="AL100" s="13"/>
      <c r="AM100" s="14"/>
      <c r="GB100" s="14"/>
      <c r="GC100" s="13"/>
      <c r="GD100" s="13"/>
      <c r="GE100" s="13"/>
      <c r="GF100" s="14"/>
    </row>
    <row r="101" spans="1:189" ht="15.75" customHeight="1" x14ac:dyDescent="0.15">
      <c r="A101" s="3">
        <v>0</v>
      </c>
      <c r="B101" s="3">
        <v>0</v>
      </c>
      <c r="C101" s="34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T101" s="1" t="s">
        <v>429</v>
      </c>
      <c r="U101" s="1"/>
      <c r="V101" s="55"/>
      <c r="AI101" s="14"/>
      <c r="AJ101" s="14"/>
      <c r="AK101" s="13"/>
      <c r="AL101" s="13"/>
      <c r="AM101" s="14"/>
      <c r="GB101" s="14"/>
      <c r="GC101" s="13"/>
      <c r="GD101" s="13"/>
      <c r="GE101" s="13"/>
      <c r="GF101" s="13"/>
      <c r="GG101" s="14"/>
    </row>
    <row r="102" spans="1:189" ht="15.75" customHeight="1" x14ac:dyDescent="0.15">
      <c r="A102" s="3">
        <v>0</v>
      </c>
      <c r="B102" s="3">
        <v>0</v>
      </c>
      <c r="C102" s="34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T102" s="59" t="s">
        <v>430</v>
      </c>
      <c r="U102" s="59" t="s">
        <v>431</v>
      </c>
      <c r="V102" s="60">
        <f>COUNTIF(F:F,"=1610")</f>
        <v>0</v>
      </c>
      <c r="AI102" s="65"/>
      <c r="AJ102" s="65"/>
      <c r="AK102" s="13"/>
      <c r="AL102" s="13"/>
      <c r="AM102" s="14"/>
      <c r="GB102" s="14"/>
      <c r="GC102" s="13"/>
      <c r="GD102" s="13"/>
      <c r="GE102" s="13"/>
      <c r="GF102" s="14"/>
    </row>
    <row r="103" spans="1:189" ht="15.75" customHeight="1" x14ac:dyDescent="0.15">
      <c r="A103" s="3">
        <v>0</v>
      </c>
      <c r="B103" s="3">
        <v>0</v>
      </c>
      <c r="C103" s="34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T103" s="59" t="s">
        <v>432</v>
      </c>
      <c r="U103" s="59" t="s">
        <v>433</v>
      </c>
      <c r="V103" s="60">
        <f>COUNTIF(F:F,"=1620")</f>
        <v>0</v>
      </c>
      <c r="AI103" s="14"/>
      <c r="AJ103" s="14"/>
      <c r="AK103" s="13"/>
      <c r="AL103" s="13"/>
      <c r="AM103" s="14"/>
      <c r="GB103" s="14"/>
      <c r="GC103" s="13"/>
      <c r="GD103" s="13"/>
      <c r="GE103" s="13"/>
      <c r="GF103" s="13"/>
      <c r="GG103" s="14"/>
    </row>
    <row r="104" spans="1:189" ht="15.75" customHeight="1" x14ac:dyDescent="0.15">
      <c r="A104" s="3">
        <v>0</v>
      </c>
      <c r="B104" s="3">
        <v>0</v>
      </c>
      <c r="C104" s="34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T104" s="59" t="s">
        <v>434</v>
      </c>
      <c r="U104" s="59" t="s">
        <v>435</v>
      </c>
      <c r="V104" s="60">
        <f>COUNTIF(F:F,"=1630")</f>
        <v>0</v>
      </c>
      <c r="AI104" s="65"/>
      <c r="AJ104" s="65"/>
      <c r="AK104" s="13"/>
      <c r="AL104" s="13"/>
      <c r="AM104" s="14"/>
      <c r="GB104" s="14"/>
      <c r="GC104" s="13"/>
      <c r="GD104" s="13"/>
      <c r="GE104" s="13"/>
      <c r="GF104" s="14"/>
    </row>
    <row r="105" spans="1:189" ht="15.75" customHeight="1" x14ac:dyDescent="0.15">
      <c r="A105" s="3">
        <v>0</v>
      </c>
      <c r="B105" s="3">
        <v>0</v>
      </c>
      <c r="C105" s="34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T105" s="59" t="s">
        <v>436</v>
      </c>
      <c r="U105" s="59" t="s">
        <v>437</v>
      </c>
      <c r="V105" s="60">
        <f>COUNTIF(F:F,"=1640")</f>
        <v>0</v>
      </c>
      <c r="AI105" s="14"/>
      <c r="AJ105" s="14"/>
      <c r="AK105" s="13"/>
      <c r="AL105" s="13"/>
      <c r="AM105" s="14"/>
      <c r="GB105" s="14"/>
      <c r="GC105" s="13"/>
      <c r="GD105" s="13"/>
      <c r="GE105" s="13"/>
      <c r="GF105" s="13"/>
      <c r="GG105" s="14"/>
    </row>
    <row r="106" spans="1:189" ht="15.75" customHeight="1" x14ac:dyDescent="0.15">
      <c r="A106" s="3">
        <v>0</v>
      </c>
      <c r="B106" s="3">
        <v>0</v>
      </c>
      <c r="C106" s="34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T106" s="1" t="s">
        <v>438</v>
      </c>
      <c r="U106" s="1"/>
      <c r="V106" s="55"/>
      <c r="AI106" s="65"/>
      <c r="AJ106" s="65"/>
      <c r="AK106" s="13"/>
      <c r="AL106" s="13"/>
      <c r="AM106" s="14"/>
      <c r="GB106" s="14"/>
      <c r="GC106" s="13"/>
      <c r="GD106" s="13"/>
      <c r="GE106" s="13"/>
      <c r="GF106" s="14"/>
    </row>
    <row r="107" spans="1:189" ht="15.75" customHeight="1" x14ac:dyDescent="0.15">
      <c r="A107" s="3">
        <v>0</v>
      </c>
      <c r="B107" s="3">
        <v>0</v>
      </c>
      <c r="C107" s="34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T107" s="59" t="s">
        <v>439</v>
      </c>
      <c r="U107" s="59" t="s">
        <v>440</v>
      </c>
      <c r="V107" s="60">
        <f>COUNTIF(F:F,"=1710")</f>
        <v>0</v>
      </c>
      <c r="AI107" s="14"/>
      <c r="AJ107" s="14"/>
      <c r="AK107" s="13"/>
      <c r="AL107" s="13"/>
      <c r="AM107" s="14"/>
      <c r="GB107" s="14"/>
      <c r="GC107" s="13"/>
      <c r="GD107" s="13"/>
      <c r="GE107" s="13"/>
      <c r="GF107" s="13"/>
      <c r="GG107" s="14"/>
    </row>
    <row r="108" spans="1:189" ht="15.75" customHeight="1" x14ac:dyDescent="0.15">
      <c r="A108" s="3">
        <v>0</v>
      </c>
      <c r="B108" s="3">
        <v>0</v>
      </c>
      <c r="C108" s="34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T108" s="59" t="s">
        <v>441</v>
      </c>
      <c r="U108" s="59" t="s">
        <v>442</v>
      </c>
      <c r="V108" s="60">
        <f>COUNTIF(F:F,"=1720")</f>
        <v>0</v>
      </c>
      <c r="AI108" s="65"/>
      <c r="AJ108" s="65"/>
      <c r="AK108" s="13"/>
      <c r="AL108" s="13"/>
      <c r="AM108" s="14"/>
      <c r="GB108" s="14"/>
      <c r="GC108" s="13"/>
      <c r="GD108" s="13"/>
      <c r="GE108" s="13"/>
      <c r="GF108" s="14"/>
    </row>
    <row r="109" spans="1:189" ht="15.75" customHeight="1" x14ac:dyDescent="0.15">
      <c r="A109" s="3">
        <v>0</v>
      </c>
      <c r="B109" s="3">
        <v>0</v>
      </c>
      <c r="C109" s="34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T109" s="59" t="s">
        <v>443</v>
      </c>
      <c r="U109" s="59" t="s">
        <v>444</v>
      </c>
      <c r="V109" s="60">
        <f>COUNTIF(F:F,"=1730")</f>
        <v>0</v>
      </c>
      <c r="AI109" s="14"/>
      <c r="AJ109" s="14"/>
      <c r="AK109" s="13"/>
      <c r="AL109" s="13"/>
      <c r="AM109" s="14"/>
      <c r="GB109" s="14"/>
      <c r="GC109" s="13"/>
      <c r="GD109" s="13"/>
      <c r="GE109" s="13"/>
      <c r="GF109" s="13"/>
      <c r="GG109" s="14"/>
    </row>
    <row r="110" spans="1:189" ht="15.75" customHeight="1" x14ac:dyDescent="0.15">
      <c r="A110" s="3">
        <v>0</v>
      </c>
      <c r="B110" s="3">
        <v>0</v>
      </c>
      <c r="C110" s="34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T110" s="59" t="s">
        <v>445</v>
      </c>
      <c r="U110" s="59" t="s">
        <v>446</v>
      </c>
      <c r="V110" s="60">
        <f>COUNTIF(F:F,"=1740")</f>
        <v>0</v>
      </c>
      <c r="AI110" s="65"/>
      <c r="AJ110" s="65"/>
      <c r="AK110" s="13"/>
      <c r="AL110" s="13"/>
      <c r="AM110" s="14"/>
      <c r="GB110" s="14"/>
      <c r="GC110" s="13"/>
      <c r="GD110" s="13"/>
      <c r="GE110" s="13"/>
      <c r="GF110" s="14"/>
    </row>
    <row r="111" spans="1:189" ht="15.75" customHeight="1" x14ac:dyDescent="0.15">
      <c r="A111" s="3">
        <v>0</v>
      </c>
      <c r="B111" s="3">
        <v>0</v>
      </c>
      <c r="C111" s="34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T111" s="59" t="s">
        <v>447</v>
      </c>
      <c r="U111" s="59" t="s">
        <v>448</v>
      </c>
      <c r="V111" s="60">
        <f>COUNTIF(F:F,"=1750")</f>
        <v>0</v>
      </c>
      <c r="AI111" s="14"/>
      <c r="AJ111" s="14"/>
      <c r="AK111" s="13"/>
      <c r="AL111" s="13"/>
      <c r="AM111" s="14"/>
      <c r="GB111" s="14"/>
      <c r="GC111" s="13"/>
      <c r="GD111" s="13"/>
      <c r="GE111" s="13"/>
      <c r="GF111" s="13"/>
      <c r="GG111" s="14"/>
    </row>
    <row r="112" spans="1:189" ht="15.75" customHeight="1" x14ac:dyDescent="0.15">
      <c r="A112" s="3">
        <v>0</v>
      </c>
      <c r="B112" s="3">
        <v>0</v>
      </c>
      <c r="C112" s="34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T112" s="59" t="s">
        <v>449</v>
      </c>
      <c r="U112" s="59" t="s">
        <v>450</v>
      </c>
      <c r="V112" s="60">
        <f>COUNTIF(F:F,"=1760")</f>
        <v>0</v>
      </c>
      <c r="AI112" s="65"/>
      <c r="AJ112" s="65"/>
      <c r="AK112" s="13"/>
      <c r="AL112" s="13"/>
      <c r="AM112" s="14"/>
      <c r="GB112" s="14"/>
      <c r="GC112" s="13"/>
      <c r="GD112" s="13"/>
      <c r="GE112" s="13"/>
      <c r="GF112" s="14"/>
    </row>
    <row r="113" spans="1:189" ht="15.75" customHeight="1" x14ac:dyDescent="0.15">
      <c r="A113" s="3">
        <v>0</v>
      </c>
      <c r="B113" s="3">
        <v>0</v>
      </c>
      <c r="C113" s="34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T113" s="59" t="s">
        <v>451</v>
      </c>
      <c r="U113" s="59" t="s">
        <v>452</v>
      </c>
      <c r="V113" s="60">
        <f>COUNTIF(F:F,"=1770")</f>
        <v>0</v>
      </c>
      <c r="AI113" s="14"/>
      <c r="AJ113" s="14"/>
      <c r="AK113" s="13"/>
      <c r="AL113" s="13"/>
      <c r="AM113" s="14"/>
      <c r="GB113" s="14"/>
      <c r="GC113" s="13"/>
      <c r="GD113" s="13"/>
      <c r="GE113" s="13"/>
      <c r="GF113" s="13"/>
      <c r="GG113" s="14"/>
    </row>
    <row r="114" spans="1:189" ht="15.75" customHeight="1" x14ac:dyDescent="0.15">
      <c r="A114" s="3">
        <v>0</v>
      </c>
      <c r="B114" s="3">
        <v>0</v>
      </c>
      <c r="C114" s="34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T114" s="59" t="s">
        <v>453</v>
      </c>
      <c r="U114" s="59" t="s">
        <v>454</v>
      </c>
      <c r="V114" s="60">
        <f>COUNTIF(F:F,"=1780")</f>
        <v>0</v>
      </c>
      <c r="AI114" s="65"/>
      <c r="AJ114" s="65"/>
      <c r="AK114" s="13"/>
      <c r="AL114" s="13"/>
      <c r="AM114" s="14"/>
      <c r="GB114" s="14"/>
      <c r="GC114" s="13"/>
      <c r="GD114" s="13"/>
      <c r="GE114" s="13"/>
      <c r="GF114" s="14"/>
    </row>
    <row r="115" spans="1:189" ht="15.75" customHeight="1" x14ac:dyDescent="0.15">
      <c r="A115" s="3">
        <v>0</v>
      </c>
      <c r="B115" s="3">
        <v>0</v>
      </c>
      <c r="C115" s="34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T115" s="59" t="s">
        <v>455</v>
      </c>
      <c r="U115" s="59" t="s">
        <v>456</v>
      </c>
      <c r="V115" s="60">
        <f>COUNTIF(F:F,"=1790")</f>
        <v>0</v>
      </c>
      <c r="AI115" s="14"/>
      <c r="AJ115" s="14"/>
      <c r="AK115" s="13"/>
      <c r="AL115" s="13"/>
      <c r="AM115" s="14"/>
      <c r="GB115" s="14"/>
      <c r="GC115" s="13"/>
      <c r="GD115" s="13"/>
      <c r="GE115" s="13"/>
      <c r="GF115" s="13"/>
      <c r="GG115" s="14"/>
    </row>
    <row r="116" spans="1:189" ht="15.75" customHeight="1" x14ac:dyDescent="0.15">
      <c r="A116" s="3">
        <v>0</v>
      </c>
      <c r="B116" s="3">
        <v>0</v>
      </c>
      <c r="C116" s="34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T116" s="1" t="s">
        <v>457</v>
      </c>
      <c r="U116" s="1"/>
      <c r="V116" s="55"/>
      <c r="AI116" s="65"/>
      <c r="AJ116" s="65"/>
      <c r="AK116" s="13"/>
      <c r="AL116" s="13"/>
      <c r="AM116" s="14"/>
      <c r="GB116" s="14"/>
      <c r="GC116" s="13"/>
      <c r="GD116" s="13"/>
      <c r="GE116" s="13"/>
      <c r="GF116" s="14"/>
    </row>
    <row r="117" spans="1:189" ht="15.75" customHeight="1" x14ac:dyDescent="0.15">
      <c r="A117" s="3">
        <v>0</v>
      </c>
      <c r="B117" s="3">
        <v>0</v>
      </c>
      <c r="C117" s="34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T117" s="59" t="s">
        <v>458</v>
      </c>
      <c r="U117" s="59" t="s">
        <v>459</v>
      </c>
      <c r="V117" s="60">
        <f>COUNTIF(F:F,"=1810")</f>
        <v>0</v>
      </c>
      <c r="AI117" s="14"/>
      <c r="AJ117" s="14"/>
      <c r="AK117" s="13"/>
      <c r="AL117" s="13"/>
      <c r="AM117" s="14"/>
      <c r="GB117" s="14"/>
      <c r="GC117" s="13"/>
      <c r="GD117" s="13"/>
      <c r="GE117" s="13"/>
      <c r="GF117" s="13"/>
      <c r="GG117" s="14"/>
    </row>
    <row r="118" spans="1:189" ht="15.75" customHeight="1" x14ac:dyDescent="0.15">
      <c r="A118" s="3">
        <v>0</v>
      </c>
      <c r="B118" s="3">
        <v>0</v>
      </c>
      <c r="C118" s="34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T118" s="59" t="s">
        <v>460</v>
      </c>
      <c r="U118" s="59" t="s">
        <v>461</v>
      </c>
      <c r="V118" s="60">
        <f>COUNTIF(F:F,"=1820")</f>
        <v>0</v>
      </c>
      <c r="AI118" s="65"/>
      <c r="AJ118" s="65"/>
      <c r="AK118" s="13"/>
      <c r="AL118" s="13"/>
      <c r="AM118" s="14"/>
      <c r="GB118" s="14"/>
      <c r="GC118" s="13"/>
      <c r="GD118" s="13"/>
      <c r="GE118" s="13"/>
      <c r="GF118" s="14"/>
    </row>
    <row r="119" spans="1:189" ht="15.75" customHeight="1" x14ac:dyDescent="0.15">
      <c r="A119" s="3">
        <v>0</v>
      </c>
      <c r="B119" s="3">
        <v>0</v>
      </c>
      <c r="C119" s="34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T119" s="59" t="s">
        <v>462</v>
      </c>
      <c r="U119" s="59" t="s">
        <v>463</v>
      </c>
      <c r="V119" s="60">
        <f>COUNTIF(F:F,"=1830")</f>
        <v>0</v>
      </c>
      <c r="AI119" s="84"/>
      <c r="GB119" s="14"/>
      <c r="GC119" s="13"/>
      <c r="GD119" s="13"/>
      <c r="GE119" s="13"/>
      <c r="GF119" s="13"/>
      <c r="GG119" s="14"/>
    </row>
    <row r="120" spans="1:189" ht="15.75" customHeight="1" x14ac:dyDescent="0.15">
      <c r="A120" s="3">
        <v>0</v>
      </c>
      <c r="B120" s="3">
        <v>0</v>
      </c>
      <c r="C120" s="34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T120" s="59" t="s">
        <v>464</v>
      </c>
      <c r="U120" s="59" t="s">
        <v>465</v>
      </c>
      <c r="V120" s="60">
        <f>COUNTIF(F:F,"=1840")</f>
        <v>0</v>
      </c>
      <c r="AI120" s="84"/>
    </row>
    <row r="121" spans="1:189" ht="15.75" customHeight="1" x14ac:dyDescent="0.15">
      <c r="A121" s="3">
        <v>0</v>
      </c>
      <c r="B121" s="3">
        <v>0</v>
      </c>
      <c r="C121" s="34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T121" s="1" t="s">
        <v>466</v>
      </c>
      <c r="U121" s="1"/>
      <c r="V121" s="55"/>
      <c r="AM121" s="14"/>
    </row>
    <row r="122" spans="1:189" ht="15.75" customHeight="1" x14ac:dyDescent="0.15">
      <c r="A122" s="3">
        <v>0</v>
      </c>
      <c r="B122" s="3">
        <v>0</v>
      </c>
      <c r="C122" s="34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T122" s="59" t="s">
        <v>467</v>
      </c>
      <c r="U122" s="59" t="s">
        <v>468</v>
      </c>
      <c r="V122" s="60">
        <f>COUNTIF(F:F,"=1910")</f>
        <v>0</v>
      </c>
      <c r="AK122" s="81"/>
      <c r="AM122" s="14"/>
    </row>
    <row r="123" spans="1:189" ht="15.75" customHeight="1" x14ac:dyDescent="0.15">
      <c r="A123" s="3">
        <v>0</v>
      </c>
      <c r="B123" s="3">
        <v>0</v>
      </c>
      <c r="C123" s="34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T123" s="59" t="s">
        <v>469</v>
      </c>
      <c r="U123" s="59" t="s">
        <v>470</v>
      </c>
      <c r="V123" s="60">
        <f>COUNTIF(F:F,"=1920")</f>
        <v>0</v>
      </c>
      <c r="AI123" s="14"/>
      <c r="AJ123" s="14"/>
      <c r="AK123" s="13"/>
      <c r="AL123" s="13"/>
      <c r="AM123" s="14"/>
    </row>
    <row r="124" spans="1:189" ht="15.75" customHeight="1" x14ac:dyDescent="0.15">
      <c r="A124" s="3">
        <v>0</v>
      </c>
      <c r="B124" s="3">
        <v>0</v>
      </c>
      <c r="C124" s="34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T124" s="59" t="s">
        <v>471</v>
      </c>
      <c r="U124" s="59" t="s">
        <v>472</v>
      </c>
      <c r="V124" s="60">
        <f>COUNTIF(F:F,"=1930")</f>
        <v>0</v>
      </c>
      <c r="AD124" s="30"/>
      <c r="AE124" s="30"/>
      <c r="AH124" s="30"/>
      <c r="AI124" s="65"/>
      <c r="AJ124" s="65"/>
      <c r="AK124" s="13"/>
      <c r="AL124" s="13"/>
      <c r="AM124" s="14"/>
    </row>
    <row r="125" spans="1:189" ht="15.75" customHeight="1" x14ac:dyDescent="0.15">
      <c r="A125" s="3">
        <v>0</v>
      </c>
      <c r="B125" s="3">
        <v>0</v>
      </c>
      <c r="C125" s="34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T125" s="59" t="s">
        <v>473</v>
      </c>
      <c r="U125" s="59" t="s">
        <v>474</v>
      </c>
      <c r="V125" s="60">
        <f>COUNTIF(F:F,"=1940")</f>
        <v>0</v>
      </c>
      <c r="AD125" s="30"/>
      <c r="AE125" s="30"/>
      <c r="AH125" s="30"/>
      <c r="AI125" s="14"/>
      <c r="AJ125" s="14"/>
      <c r="AK125" s="13"/>
      <c r="AL125" s="13"/>
      <c r="AM125" s="14"/>
    </row>
    <row r="126" spans="1:189" ht="15.75" customHeight="1" x14ac:dyDescent="0.15">
      <c r="A126" s="3">
        <v>0</v>
      </c>
      <c r="B126" s="3">
        <v>0</v>
      </c>
      <c r="C126" s="34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T126" s="59" t="s">
        <v>475</v>
      </c>
      <c r="U126" s="59" t="s">
        <v>476</v>
      </c>
      <c r="V126" s="60">
        <f>COUNTIF(F:F,"=1950")</f>
        <v>0</v>
      </c>
      <c r="AD126" s="30"/>
      <c r="AE126" s="30"/>
      <c r="AH126" s="30"/>
      <c r="AI126" s="65"/>
      <c r="AJ126" s="65"/>
      <c r="AK126" s="13"/>
      <c r="AL126" s="13"/>
      <c r="AM126" s="14"/>
    </row>
    <row r="127" spans="1:189" ht="15.75" customHeight="1" x14ac:dyDescent="0.15">
      <c r="A127" s="3">
        <v>0</v>
      </c>
      <c r="B127" s="3">
        <v>0</v>
      </c>
      <c r="C127" s="34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T127" s="59" t="s">
        <v>477</v>
      </c>
      <c r="U127" s="59" t="s">
        <v>478</v>
      </c>
      <c r="V127" s="60">
        <f>COUNTIF(F:F,"=1960")</f>
        <v>0</v>
      </c>
      <c r="AD127" s="30"/>
      <c r="AE127" s="30"/>
      <c r="AH127" s="30"/>
      <c r="AI127" s="14"/>
      <c r="AJ127" s="14"/>
      <c r="AK127" s="13"/>
      <c r="AL127" s="13"/>
      <c r="AM127" s="14"/>
    </row>
    <row r="128" spans="1:189" ht="15.75" customHeight="1" x14ac:dyDescent="0.15">
      <c r="A128" s="3">
        <v>0</v>
      </c>
      <c r="B128" s="3">
        <v>0</v>
      </c>
      <c r="C128" s="34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T128" s="59" t="s">
        <v>479</v>
      </c>
      <c r="U128" s="59" t="s">
        <v>480</v>
      </c>
      <c r="V128" s="60">
        <f>COUNTIF(F:F,"=1970")</f>
        <v>0</v>
      </c>
      <c r="AD128" s="30"/>
      <c r="AE128" s="30"/>
      <c r="AH128" s="30"/>
      <c r="AI128" s="65"/>
      <c r="AJ128" s="65"/>
      <c r="AK128" s="13"/>
      <c r="AL128" s="13"/>
      <c r="AM128" s="14"/>
    </row>
    <row r="129" spans="1:39" ht="15.75" customHeight="1" x14ac:dyDescent="0.15">
      <c r="A129" s="3">
        <v>0</v>
      </c>
      <c r="B129" s="3">
        <v>0</v>
      </c>
      <c r="C129" s="34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T129" s="59" t="s">
        <v>481</v>
      </c>
      <c r="U129" s="59" t="s">
        <v>482</v>
      </c>
      <c r="V129" s="60">
        <f>COUNTIF(F:F,"=1990")</f>
        <v>1</v>
      </c>
      <c r="AD129" s="30"/>
      <c r="AE129" s="30"/>
      <c r="AH129" s="30"/>
      <c r="AI129" s="14"/>
      <c r="AJ129" s="14"/>
      <c r="AK129" s="13"/>
      <c r="AL129" s="13"/>
      <c r="AM129" s="14"/>
    </row>
    <row r="130" spans="1:39" ht="15.75" customHeight="1" x14ac:dyDescent="0.15">
      <c r="A130" s="3">
        <v>0</v>
      </c>
      <c r="B130" s="3">
        <v>0</v>
      </c>
      <c r="C130" s="34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T130" s="68" t="s">
        <v>113</v>
      </c>
      <c r="U130" s="68"/>
      <c r="V130" s="69">
        <f>SUM(V2:V129)</f>
        <v>9</v>
      </c>
      <c r="AD130" s="30"/>
      <c r="AE130" s="30"/>
      <c r="AH130" s="30"/>
      <c r="AI130" s="65"/>
      <c r="AJ130" s="65"/>
      <c r="AK130" s="13"/>
      <c r="AL130" s="13"/>
      <c r="AM130" s="14"/>
    </row>
    <row r="131" spans="1:39" ht="15.75" customHeight="1" x14ac:dyDescent="0.15">
      <c r="A131" s="3">
        <v>0</v>
      </c>
      <c r="B131" s="3">
        <v>0</v>
      </c>
      <c r="C131" s="34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AD131" s="30"/>
      <c r="AE131" s="30"/>
      <c r="AH131" s="30"/>
      <c r="AI131" s="14"/>
      <c r="AJ131" s="14"/>
      <c r="AK131" s="13"/>
      <c r="AL131" s="13"/>
      <c r="AM131" s="14"/>
    </row>
    <row r="132" spans="1:39" ht="15.75" customHeight="1" x14ac:dyDescent="0.15">
      <c r="A132" s="3">
        <v>0</v>
      </c>
      <c r="B132" s="3">
        <v>0</v>
      </c>
      <c r="C132" s="34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AD132" s="30"/>
      <c r="AE132" s="30"/>
      <c r="AH132" s="30"/>
      <c r="AI132" s="65"/>
      <c r="AJ132" s="65"/>
      <c r="AK132" s="13"/>
      <c r="AL132" s="13"/>
      <c r="AM132" s="14"/>
    </row>
    <row r="133" spans="1:39" ht="15.75" customHeight="1" x14ac:dyDescent="0.15">
      <c r="A133" s="3">
        <v>0</v>
      </c>
      <c r="B133" s="3">
        <v>0</v>
      </c>
      <c r="C133" s="34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AD133" s="30"/>
      <c r="AE133" s="30"/>
      <c r="AH133" s="30"/>
      <c r="AI133" s="14"/>
      <c r="AJ133" s="14"/>
      <c r="AK133" s="13"/>
      <c r="AL133" s="13"/>
      <c r="AM133" s="14"/>
    </row>
    <row r="134" spans="1:39" ht="15.75" customHeight="1" x14ac:dyDescent="0.15">
      <c r="A134" s="3">
        <v>0</v>
      </c>
      <c r="B134" s="3">
        <v>0</v>
      </c>
      <c r="C134" s="34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AD134" s="30"/>
      <c r="AE134" s="30"/>
      <c r="AH134" s="30"/>
      <c r="AI134" s="65"/>
      <c r="AJ134" s="65"/>
      <c r="AK134" s="13"/>
      <c r="AL134" s="13"/>
      <c r="AM134" s="14"/>
    </row>
    <row r="135" spans="1:39" ht="15.75" customHeight="1" x14ac:dyDescent="0.15">
      <c r="A135" s="3">
        <v>0</v>
      </c>
      <c r="B135" s="3">
        <v>0</v>
      </c>
      <c r="C135" s="34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AD135" s="30"/>
      <c r="AE135" s="30"/>
      <c r="AH135" s="30"/>
      <c r="AI135" s="14"/>
      <c r="AJ135" s="14"/>
      <c r="AK135" s="13"/>
      <c r="AL135" s="13"/>
      <c r="AM135" s="14"/>
    </row>
    <row r="136" spans="1:39" ht="15.75" customHeight="1" x14ac:dyDescent="0.15">
      <c r="A136" s="3">
        <v>0</v>
      </c>
      <c r="B136" s="3">
        <v>0</v>
      </c>
      <c r="C136" s="34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AD136" s="30"/>
      <c r="AE136" s="30"/>
      <c r="AH136" s="30"/>
      <c r="AI136" s="65"/>
      <c r="AJ136" s="65"/>
      <c r="AK136" s="13"/>
      <c r="AL136" s="13"/>
      <c r="AM136" s="14"/>
    </row>
    <row r="137" spans="1:39" ht="15.75" customHeight="1" x14ac:dyDescent="0.15">
      <c r="A137" s="3">
        <v>0</v>
      </c>
      <c r="B137" s="3">
        <v>0</v>
      </c>
      <c r="C137" s="34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AD137" s="30"/>
      <c r="AE137" s="30"/>
      <c r="AH137" s="30"/>
      <c r="AI137" s="14"/>
      <c r="AJ137" s="14"/>
      <c r="AK137" s="13"/>
      <c r="AL137" s="13"/>
      <c r="AM137" s="14"/>
    </row>
    <row r="138" spans="1:39" ht="15.75" customHeight="1" x14ac:dyDescent="0.15">
      <c r="A138" s="3">
        <v>0</v>
      </c>
      <c r="B138" s="3">
        <v>0</v>
      </c>
      <c r="C138" s="34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AD138" s="30"/>
      <c r="AE138" s="30"/>
      <c r="AH138" s="30"/>
      <c r="AI138" s="65"/>
      <c r="AJ138" s="65"/>
      <c r="AK138" s="13"/>
      <c r="AL138" s="13"/>
      <c r="AM138" s="14"/>
    </row>
    <row r="139" spans="1:39" ht="15.75" customHeight="1" x14ac:dyDescent="0.15">
      <c r="A139" s="3">
        <v>0</v>
      </c>
      <c r="B139" s="3">
        <v>0</v>
      </c>
      <c r="C139" s="34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AD139" s="30"/>
      <c r="AE139" s="30"/>
      <c r="AH139" s="30"/>
      <c r="AI139" s="14"/>
      <c r="AJ139" s="14"/>
      <c r="AK139" s="13"/>
      <c r="AL139" s="13"/>
      <c r="AM139" s="14"/>
    </row>
    <row r="140" spans="1:39" ht="15.75" customHeight="1" x14ac:dyDescent="0.15">
      <c r="A140" s="3">
        <v>0</v>
      </c>
      <c r="B140" s="3">
        <v>0</v>
      </c>
      <c r="C140" s="34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AD140" s="30"/>
      <c r="AE140" s="30"/>
      <c r="AH140" s="30"/>
      <c r="AI140" s="65"/>
      <c r="AJ140" s="65"/>
      <c r="AK140" s="13"/>
      <c r="AL140" s="13"/>
      <c r="AM140" s="14"/>
    </row>
    <row r="141" spans="1:39" ht="15.75" customHeight="1" x14ac:dyDescent="0.15">
      <c r="A141" s="3">
        <v>0</v>
      </c>
      <c r="B141" s="3">
        <v>0</v>
      </c>
      <c r="C141" s="34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AD141" s="30"/>
      <c r="AE141" s="30"/>
      <c r="AH141" s="30"/>
      <c r="AI141" s="14"/>
      <c r="AJ141" s="14"/>
      <c r="AK141" s="13"/>
      <c r="AL141" s="13"/>
      <c r="AM141" s="14"/>
    </row>
    <row r="142" spans="1:39" ht="15.75" customHeight="1" x14ac:dyDescent="0.15">
      <c r="A142" s="3">
        <v>0</v>
      </c>
      <c r="B142" s="3">
        <v>0</v>
      </c>
      <c r="C142" s="34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AD142" s="30"/>
      <c r="AE142" s="30"/>
      <c r="AH142" s="30"/>
      <c r="AI142" s="65"/>
      <c r="AJ142" s="65"/>
      <c r="AK142" s="13"/>
      <c r="AL142" s="13"/>
      <c r="AM142" s="14"/>
    </row>
    <row r="143" spans="1:39" ht="15.75" customHeight="1" x14ac:dyDescent="0.15">
      <c r="A143" s="3">
        <v>0</v>
      </c>
      <c r="B143" s="3">
        <v>0</v>
      </c>
      <c r="C143" s="34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AD143" s="30"/>
      <c r="AE143" s="30"/>
      <c r="AH143" s="30"/>
      <c r="AI143" s="14"/>
      <c r="AJ143" s="14"/>
      <c r="AK143" s="13"/>
      <c r="AL143" s="13"/>
      <c r="AM143" s="14"/>
    </row>
    <row r="144" spans="1:39" ht="15.75" customHeight="1" x14ac:dyDescent="0.15">
      <c r="A144" s="3">
        <v>0</v>
      </c>
      <c r="B144" s="3">
        <v>0</v>
      </c>
      <c r="C144" s="34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AD144" s="30"/>
      <c r="AE144" s="30"/>
      <c r="AH144" s="30"/>
      <c r="AI144" s="65"/>
      <c r="AJ144" s="65"/>
      <c r="AK144" s="13"/>
      <c r="AL144" s="13"/>
      <c r="AM144" s="14"/>
    </row>
    <row r="145" spans="1:39" ht="15.75" customHeight="1" x14ac:dyDescent="0.15">
      <c r="A145" s="3">
        <v>0</v>
      </c>
      <c r="B145" s="3">
        <v>0</v>
      </c>
      <c r="C145" s="34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AD145" s="30"/>
      <c r="AE145" s="30"/>
      <c r="AH145" s="30"/>
      <c r="AI145" s="14"/>
      <c r="AJ145" s="14"/>
      <c r="AK145" s="13"/>
      <c r="AL145" s="13"/>
      <c r="AM145" s="14"/>
    </row>
    <row r="146" spans="1:39" ht="15.75" customHeight="1" x14ac:dyDescent="0.15">
      <c r="A146" s="3">
        <v>0</v>
      </c>
      <c r="B146" s="3">
        <v>0</v>
      </c>
      <c r="C146" s="34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AD146" s="30"/>
      <c r="AE146" s="30"/>
      <c r="AH146" s="30"/>
      <c r="AI146" s="65"/>
      <c r="AJ146" s="65"/>
      <c r="AK146" s="13"/>
      <c r="AL146" s="13"/>
      <c r="AM146" s="14"/>
    </row>
    <row r="147" spans="1:39" ht="15.75" customHeight="1" x14ac:dyDescent="0.15">
      <c r="A147" s="3">
        <v>0</v>
      </c>
      <c r="B147" s="3">
        <v>0</v>
      </c>
      <c r="C147" s="34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AD147" s="30"/>
      <c r="AE147" s="30"/>
      <c r="AH147" s="30"/>
      <c r="AI147" s="14"/>
      <c r="AJ147" s="14"/>
      <c r="AK147" s="13"/>
      <c r="AL147" s="13"/>
      <c r="AM147" s="14"/>
    </row>
    <row r="148" spans="1:39" ht="15.75" customHeight="1" x14ac:dyDescent="0.15">
      <c r="A148" s="3">
        <v>0</v>
      </c>
      <c r="B148" s="3">
        <v>0</v>
      </c>
      <c r="C148" s="34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AD148" s="30"/>
      <c r="AE148" s="30"/>
      <c r="AH148" s="30"/>
      <c r="AI148" s="65"/>
      <c r="AJ148" s="65"/>
      <c r="AK148" s="13"/>
      <c r="AL148" s="13"/>
      <c r="AM148" s="14"/>
    </row>
    <row r="149" spans="1:39" ht="15.75" customHeight="1" x14ac:dyDescent="0.15">
      <c r="A149" s="3">
        <v>0</v>
      </c>
      <c r="B149" s="3">
        <v>0</v>
      </c>
      <c r="C149" s="34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AD149" s="30"/>
      <c r="AE149" s="30"/>
      <c r="AH149" s="30"/>
    </row>
    <row r="150" spans="1:39" ht="15.75" customHeight="1" x14ac:dyDescent="0.15">
      <c r="A150" s="3">
        <v>0</v>
      </c>
      <c r="B150" s="3">
        <v>0</v>
      </c>
      <c r="C150" s="34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AD150" s="30"/>
      <c r="AE150" s="30"/>
      <c r="AH150" s="30"/>
      <c r="AK150" s="13"/>
    </row>
    <row r="151" spans="1:39" ht="15.75" customHeight="1" x14ac:dyDescent="0.15">
      <c r="A151" s="3">
        <v>0</v>
      </c>
      <c r="B151" s="3">
        <v>0</v>
      </c>
      <c r="C151" s="34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AD151" s="30"/>
      <c r="AE151" s="30"/>
      <c r="AH151" s="30"/>
      <c r="AI151" s="14"/>
      <c r="AJ151" s="13"/>
      <c r="AK151" s="13"/>
      <c r="AL151" s="14"/>
    </row>
    <row r="152" spans="1:39" ht="15.75" customHeight="1" x14ac:dyDescent="0.15">
      <c r="A152" s="3">
        <v>0</v>
      </c>
      <c r="B152" s="3">
        <v>0</v>
      </c>
      <c r="C152" s="34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AD152" s="30"/>
      <c r="AE152" s="30"/>
      <c r="AH152" s="30"/>
      <c r="AI152" s="65"/>
      <c r="AJ152" s="13"/>
      <c r="AK152" s="13"/>
      <c r="AL152" s="14"/>
    </row>
    <row r="153" spans="1:39" ht="15.75" customHeight="1" x14ac:dyDescent="0.15">
      <c r="A153" s="3">
        <v>0</v>
      </c>
      <c r="B153" s="3">
        <v>0</v>
      </c>
      <c r="C153" s="34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AD153" s="30"/>
      <c r="AE153" s="30"/>
      <c r="AH153" s="30"/>
      <c r="AI153" s="14"/>
      <c r="AJ153" s="13"/>
      <c r="AK153" s="13"/>
      <c r="AL153" s="14"/>
    </row>
    <row r="154" spans="1:39" ht="15.75" customHeight="1" x14ac:dyDescent="0.15">
      <c r="A154" s="3">
        <v>0</v>
      </c>
      <c r="B154" s="3">
        <v>0</v>
      </c>
      <c r="C154" s="34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AD154" s="30"/>
      <c r="AE154" s="30"/>
      <c r="AH154" s="30"/>
      <c r="AI154" s="65"/>
      <c r="AJ154" s="13"/>
      <c r="AK154" s="13"/>
      <c r="AL154" s="14"/>
    </row>
    <row r="155" spans="1:39" ht="15.75" customHeight="1" x14ac:dyDescent="0.15">
      <c r="A155" s="3">
        <v>0</v>
      </c>
      <c r="B155" s="3">
        <v>0</v>
      </c>
      <c r="C155" s="34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AD155" s="30"/>
      <c r="AE155" s="30"/>
      <c r="AH155" s="30"/>
      <c r="AI155" s="14"/>
      <c r="AJ155" s="13"/>
      <c r="AK155" s="13"/>
      <c r="AL155" s="14"/>
    </row>
    <row r="156" spans="1:39" ht="15.75" customHeight="1" x14ac:dyDescent="0.15">
      <c r="A156" s="3">
        <v>0</v>
      </c>
      <c r="B156" s="3">
        <v>0</v>
      </c>
      <c r="C156" s="34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AD156" s="30"/>
      <c r="AE156" s="30"/>
      <c r="AH156" s="30"/>
      <c r="AI156" s="65"/>
      <c r="AJ156" s="13"/>
      <c r="AK156" s="13"/>
      <c r="AL156" s="14"/>
    </row>
    <row r="157" spans="1:39" ht="15.75" customHeight="1" x14ac:dyDescent="0.15">
      <c r="A157" s="3">
        <v>0</v>
      </c>
      <c r="B157" s="3">
        <v>0</v>
      </c>
      <c r="C157" s="34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AD157" s="30"/>
      <c r="AE157" s="30"/>
      <c r="AH157" s="30"/>
      <c r="AI157" s="14"/>
      <c r="AJ157" s="13"/>
      <c r="AK157" s="13"/>
      <c r="AL157" s="14"/>
    </row>
    <row r="158" spans="1:39" ht="15.75" customHeight="1" x14ac:dyDescent="0.15">
      <c r="A158" s="3">
        <v>0</v>
      </c>
      <c r="B158" s="3">
        <v>0</v>
      </c>
      <c r="C158" s="34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AD158" s="30"/>
      <c r="AE158" s="30"/>
      <c r="AH158" s="30"/>
      <c r="AI158" s="65"/>
      <c r="AJ158" s="13"/>
      <c r="AK158" s="13"/>
      <c r="AL158" s="14"/>
    </row>
    <row r="159" spans="1:39" ht="15.75" customHeight="1" x14ac:dyDescent="0.15">
      <c r="A159" s="3">
        <v>0</v>
      </c>
      <c r="B159" s="3">
        <v>0</v>
      </c>
      <c r="C159" s="34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AD159" s="30"/>
      <c r="AE159" s="30"/>
      <c r="AH159" s="30"/>
      <c r="AI159" s="14"/>
      <c r="AJ159" s="13"/>
      <c r="AK159" s="13"/>
      <c r="AL159" s="14"/>
    </row>
    <row r="160" spans="1:39" ht="15.75" customHeight="1" x14ac:dyDescent="0.15">
      <c r="A160" s="3">
        <v>0</v>
      </c>
      <c r="B160" s="3">
        <v>0</v>
      </c>
      <c r="C160" s="34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AI160" s="65"/>
      <c r="AJ160" s="13"/>
      <c r="AK160" s="13"/>
      <c r="AL160" s="14"/>
    </row>
    <row r="161" spans="1:38" ht="15.75" customHeight="1" x14ac:dyDescent="0.15">
      <c r="A161" s="3">
        <v>0</v>
      </c>
      <c r="B161" s="3">
        <v>0</v>
      </c>
      <c r="C161" s="34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AI161" s="14"/>
      <c r="AJ161" s="13"/>
      <c r="AK161" s="13"/>
      <c r="AL161" s="14"/>
    </row>
    <row r="162" spans="1:38" ht="15.75" customHeight="1" x14ac:dyDescent="0.15">
      <c r="A162" s="3">
        <v>0</v>
      </c>
      <c r="B162" s="3">
        <v>0</v>
      </c>
      <c r="C162" s="34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AI162" s="65"/>
      <c r="AJ162" s="13"/>
      <c r="AK162" s="13"/>
      <c r="AL162" s="14"/>
    </row>
    <row r="163" spans="1:38" ht="15.75" customHeight="1" x14ac:dyDescent="0.15">
      <c r="A163" s="3">
        <v>0</v>
      </c>
      <c r="B163" s="3">
        <v>0</v>
      </c>
      <c r="C163" s="34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AI163" s="14"/>
      <c r="AJ163" s="13"/>
      <c r="AK163" s="13"/>
      <c r="AL163" s="14"/>
    </row>
    <row r="164" spans="1:38" ht="15.75" customHeight="1" x14ac:dyDescent="0.15">
      <c r="A164" s="3">
        <v>0</v>
      </c>
      <c r="B164" s="3">
        <v>0</v>
      </c>
      <c r="C164" s="34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AI164" s="65"/>
      <c r="AJ164" s="13"/>
      <c r="AK164" s="13"/>
      <c r="AL164" s="14"/>
    </row>
    <row r="165" spans="1:38" ht="15.75" customHeight="1" x14ac:dyDescent="0.15">
      <c r="A165" s="3">
        <v>0</v>
      </c>
      <c r="B165" s="3">
        <v>0</v>
      </c>
      <c r="C165" s="34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AI165" s="14"/>
      <c r="AJ165" s="13"/>
      <c r="AK165" s="13"/>
      <c r="AL165" s="14"/>
    </row>
    <row r="166" spans="1:38" ht="15.75" customHeight="1" x14ac:dyDescent="0.15">
      <c r="A166" s="3">
        <v>0</v>
      </c>
      <c r="B166" s="3">
        <v>0</v>
      </c>
      <c r="C166" s="34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AI166" s="65"/>
      <c r="AJ166" s="13"/>
      <c r="AK166" s="13"/>
      <c r="AL166" s="14"/>
    </row>
    <row r="167" spans="1:38" ht="15.75" customHeight="1" x14ac:dyDescent="0.15">
      <c r="A167" s="3">
        <v>0</v>
      </c>
      <c r="B167" s="3">
        <v>0</v>
      </c>
      <c r="C167" s="34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AI167" s="14"/>
      <c r="AJ167" s="13"/>
      <c r="AK167" s="13"/>
      <c r="AL167" s="14"/>
    </row>
    <row r="168" spans="1:38" ht="15.75" customHeight="1" x14ac:dyDescent="0.15">
      <c r="A168" s="3">
        <v>0</v>
      </c>
      <c r="B168" s="3">
        <v>0</v>
      </c>
      <c r="C168" s="34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AI168" s="65"/>
      <c r="AJ168" s="13"/>
      <c r="AK168" s="13"/>
      <c r="AL168" s="14"/>
    </row>
    <row r="169" spans="1:38" ht="15.75" customHeight="1" x14ac:dyDescent="0.15">
      <c r="A169" s="3">
        <v>0</v>
      </c>
      <c r="B169" s="3">
        <v>0</v>
      </c>
      <c r="C169" s="34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AI169" s="14"/>
      <c r="AJ169" s="13"/>
      <c r="AK169" s="13"/>
      <c r="AL169" s="14"/>
    </row>
    <row r="170" spans="1:38" ht="15.75" customHeight="1" x14ac:dyDescent="0.15">
      <c r="A170" s="3">
        <v>0</v>
      </c>
      <c r="B170" s="3">
        <v>0</v>
      </c>
      <c r="C170" s="34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AI170" s="65"/>
      <c r="AJ170" s="13"/>
      <c r="AK170" s="13"/>
      <c r="AL170" s="14"/>
    </row>
    <row r="171" spans="1:38" ht="15.75" customHeight="1" x14ac:dyDescent="0.15">
      <c r="A171" s="3">
        <v>0</v>
      </c>
      <c r="B171" s="3">
        <v>0</v>
      </c>
      <c r="C171" s="34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AI171" s="14"/>
      <c r="AJ171" s="13"/>
      <c r="AK171" s="13"/>
      <c r="AL171" s="14"/>
    </row>
    <row r="172" spans="1:38" ht="15.75" customHeight="1" x14ac:dyDescent="0.15">
      <c r="A172" s="3">
        <v>0</v>
      </c>
      <c r="B172" s="3">
        <v>0</v>
      </c>
      <c r="C172" s="34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AI172" s="65"/>
      <c r="AJ172" s="13"/>
      <c r="AK172" s="13"/>
      <c r="AL172" s="14"/>
    </row>
    <row r="173" spans="1:38" ht="15.75" customHeight="1" x14ac:dyDescent="0.15">
      <c r="A173" s="3">
        <v>0</v>
      </c>
      <c r="B173" s="3">
        <v>0</v>
      </c>
      <c r="C173" s="34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AI173" s="14"/>
      <c r="AJ173" s="13"/>
      <c r="AK173" s="13"/>
      <c r="AL173" s="14"/>
    </row>
    <row r="174" spans="1:38" ht="15.75" customHeight="1" x14ac:dyDescent="0.15">
      <c r="A174" s="3">
        <v>0</v>
      </c>
      <c r="B174" s="3">
        <v>0</v>
      </c>
      <c r="C174" s="34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AI174" s="65"/>
      <c r="AJ174" s="13"/>
      <c r="AK174" s="13"/>
      <c r="AL174" s="14"/>
    </row>
    <row r="175" spans="1:38" ht="15.75" customHeight="1" x14ac:dyDescent="0.15">
      <c r="A175" s="3">
        <v>0</v>
      </c>
      <c r="B175" s="3">
        <v>0</v>
      </c>
      <c r="C175" s="34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AI175" s="14"/>
      <c r="AJ175" s="13"/>
      <c r="AK175" s="13"/>
      <c r="AL175" s="14"/>
    </row>
    <row r="176" spans="1:38" ht="15.75" customHeight="1" x14ac:dyDescent="0.15">
      <c r="A176" s="3">
        <v>0</v>
      </c>
      <c r="B176" s="3">
        <v>0</v>
      </c>
      <c r="C176" s="34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AI176" s="65"/>
      <c r="AJ176" s="13"/>
      <c r="AK176" s="13"/>
      <c r="AL176" s="14"/>
    </row>
    <row r="177" spans="1:38" ht="15.75" customHeight="1" x14ac:dyDescent="0.15">
      <c r="A177" s="3">
        <v>0</v>
      </c>
      <c r="B177" s="3">
        <v>0</v>
      </c>
      <c r="C177" s="34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</row>
    <row r="178" spans="1:38" ht="15.75" customHeight="1" x14ac:dyDescent="0.15">
      <c r="A178" s="3">
        <v>0</v>
      </c>
      <c r="B178" s="3">
        <v>0</v>
      </c>
      <c r="C178" s="34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AK178" s="13"/>
    </row>
    <row r="179" spans="1:38" ht="15.75" customHeight="1" x14ac:dyDescent="0.15">
      <c r="A179" s="3">
        <v>0</v>
      </c>
      <c r="B179" s="3">
        <v>0</v>
      </c>
      <c r="C179" s="34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AI179" s="14"/>
      <c r="AJ179" s="13"/>
      <c r="AK179" s="13"/>
      <c r="AL179" s="14"/>
    </row>
    <row r="180" spans="1:38" ht="15.75" customHeight="1" x14ac:dyDescent="0.15">
      <c r="A180" s="3">
        <v>0</v>
      </c>
      <c r="B180" s="3">
        <v>0</v>
      </c>
      <c r="C180" s="34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AI180" s="65"/>
      <c r="AJ180" s="13"/>
      <c r="AK180" s="13"/>
      <c r="AL180" s="14"/>
    </row>
    <row r="181" spans="1:38" ht="15.75" customHeight="1" x14ac:dyDescent="0.15">
      <c r="A181" s="3">
        <v>0</v>
      </c>
      <c r="B181" s="3">
        <v>0</v>
      </c>
      <c r="C181" s="34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AI181" s="14"/>
      <c r="AJ181" s="13"/>
      <c r="AK181" s="13"/>
      <c r="AL181" s="14"/>
    </row>
    <row r="182" spans="1:38" ht="15.75" customHeight="1" x14ac:dyDescent="0.15">
      <c r="A182" s="3">
        <v>0</v>
      </c>
      <c r="B182" s="3">
        <v>0</v>
      </c>
      <c r="C182" s="34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AI182" s="65"/>
      <c r="AJ182" s="13"/>
      <c r="AK182" s="13"/>
      <c r="AL182" s="14"/>
    </row>
    <row r="183" spans="1:38" ht="15.75" customHeight="1" x14ac:dyDescent="0.15">
      <c r="A183" s="3">
        <v>0</v>
      </c>
      <c r="B183" s="3">
        <v>0</v>
      </c>
      <c r="C183" s="34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AI183" s="14"/>
      <c r="AJ183" s="13"/>
      <c r="AK183" s="13"/>
      <c r="AL183" s="14"/>
    </row>
    <row r="184" spans="1:38" ht="15.75" customHeight="1" x14ac:dyDescent="0.15">
      <c r="A184" s="3">
        <v>0</v>
      </c>
      <c r="B184" s="3">
        <v>0</v>
      </c>
      <c r="C184" s="34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AI184" s="65"/>
      <c r="AJ184" s="13"/>
      <c r="AK184" s="13"/>
      <c r="AL184" s="14"/>
    </row>
    <row r="185" spans="1:38" ht="15.75" customHeight="1" x14ac:dyDescent="0.15">
      <c r="A185" s="3">
        <v>0</v>
      </c>
      <c r="B185" s="3">
        <v>0</v>
      </c>
      <c r="C185" s="34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AI185" s="14"/>
      <c r="AJ185" s="13"/>
      <c r="AK185" s="13"/>
      <c r="AL185" s="14"/>
    </row>
    <row r="186" spans="1:38" ht="15.75" customHeight="1" x14ac:dyDescent="0.15">
      <c r="A186" s="3">
        <v>0</v>
      </c>
      <c r="B186" s="3">
        <v>0</v>
      </c>
      <c r="C186" s="34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AI186" s="65"/>
      <c r="AJ186" s="13"/>
      <c r="AK186" s="13"/>
      <c r="AL186" s="14"/>
    </row>
    <row r="187" spans="1:38" ht="15.75" customHeight="1" x14ac:dyDescent="0.15">
      <c r="A187" s="3">
        <v>0</v>
      </c>
      <c r="B187" s="3">
        <v>0</v>
      </c>
      <c r="C187" s="34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AI187" s="14"/>
      <c r="AJ187" s="13"/>
      <c r="AK187" s="13"/>
      <c r="AL187" s="14"/>
    </row>
    <row r="188" spans="1:38" ht="15.75" customHeight="1" x14ac:dyDescent="0.15">
      <c r="A188" s="3">
        <v>0</v>
      </c>
      <c r="B188" s="3">
        <v>0</v>
      </c>
      <c r="C188" s="34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AI188" s="65"/>
      <c r="AJ188" s="13"/>
      <c r="AK188" s="13"/>
      <c r="AL188" s="14"/>
    </row>
    <row r="189" spans="1:38" ht="15.75" customHeight="1" x14ac:dyDescent="0.15">
      <c r="A189" s="3">
        <v>0</v>
      </c>
      <c r="B189" s="3">
        <v>0</v>
      </c>
      <c r="C189" s="34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AI189" s="14"/>
      <c r="AJ189" s="13"/>
      <c r="AK189" s="13"/>
      <c r="AL189" s="14"/>
    </row>
    <row r="190" spans="1:38" ht="15.75" customHeight="1" x14ac:dyDescent="0.15">
      <c r="A190" s="3">
        <v>0</v>
      </c>
      <c r="B190" s="3">
        <v>0</v>
      </c>
      <c r="C190" s="34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AI190" s="65"/>
      <c r="AJ190" s="13"/>
      <c r="AK190" s="13"/>
      <c r="AL190" s="14"/>
    </row>
    <row r="191" spans="1:38" ht="15.75" customHeight="1" x14ac:dyDescent="0.15">
      <c r="A191" s="3">
        <v>0</v>
      </c>
      <c r="B191" s="3">
        <v>0</v>
      </c>
      <c r="C191" s="34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AI191" s="14"/>
      <c r="AJ191" s="13"/>
      <c r="AK191" s="13"/>
      <c r="AL191" s="14"/>
    </row>
    <row r="192" spans="1:38" ht="15.75" customHeight="1" x14ac:dyDescent="0.15">
      <c r="A192" s="3">
        <v>0</v>
      </c>
      <c r="B192" s="3">
        <v>0</v>
      </c>
      <c r="C192" s="34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AI192" s="65"/>
      <c r="AJ192" s="13"/>
      <c r="AK192" s="13"/>
      <c r="AL192" s="14"/>
    </row>
    <row r="193" spans="1:38" ht="15.75" customHeight="1" x14ac:dyDescent="0.15">
      <c r="A193" s="3">
        <v>0</v>
      </c>
      <c r="B193" s="3">
        <v>0</v>
      </c>
      <c r="C193" s="34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AI193" s="14"/>
      <c r="AJ193" s="13"/>
      <c r="AK193" s="13"/>
      <c r="AL193" s="14"/>
    </row>
    <row r="194" spans="1:38" ht="15.75" customHeight="1" x14ac:dyDescent="0.15">
      <c r="A194" s="3">
        <v>0</v>
      </c>
      <c r="B194" s="3">
        <v>0</v>
      </c>
      <c r="C194" s="34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AI194" s="65"/>
      <c r="AJ194" s="13"/>
      <c r="AK194" s="13"/>
      <c r="AL194" s="14"/>
    </row>
    <row r="195" spans="1:38" ht="15.75" customHeight="1" x14ac:dyDescent="0.15">
      <c r="A195" s="3">
        <v>0</v>
      </c>
      <c r="B195" s="3">
        <v>0</v>
      </c>
      <c r="C195" s="34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AI195" s="14"/>
      <c r="AJ195" s="13"/>
      <c r="AK195" s="13"/>
      <c r="AL195" s="14"/>
    </row>
    <row r="196" spans="1:38" ht="15.75" customHeight="1" x14ac:dyDescent="0.15">
      <c r="A196" s="3">
        <v>0</v>
      </c>
      <c r="B196" s="3">
        <v>0</v>
      </c>
      <c r="C196" s="34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AI196" s="65"/>
      <c r="AJ196" s="13"/>
      <c r="AK196" s="13"/>
      <c r="AL196" s="14"/>
    </row>
    <row r="197" spans="1:38" ht="15.75" customHeight="1" x14ac:dyDescent="0.15">
      <c r="A197" s="3">
        <v>0</v>
      </c>
      <c r="B197" s="3">
        <v>0</v>
      </c>
      <c r="C197" s="34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AI197" s="14"/>
      <c r="AJ197" s="13"/>
      <c r="AK197" s="13"/>
      <c r="AL197" s="14"/>
    </row>
    <row r="198" spans="1:38" ht="15.75" customHeight="1" x14ac:dyDescent="0.15">
      <c r="A198" s="3">
        <v>0</v>
      </c>
      <c r="B198" s="3">
        <v>0</v>
      </c>
      <c r="C198" s="34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AI198" s="65"/>
      <c r="AJ198" s="13"/>
      <c r="AK198" s="13"/>
      <c r="AL198" s="14"/>
    </row>
    <row r="199" spans="1:38" ht="15.75" customHeight="1" x14ac:dyDescent="0.15">
      <c r="A199" s="3">
        <v>0</v>
      </c>
      <c r="B199" s="3">
        <v>0</v>
      </c>
      <c r="C199" s="34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AI199" s="14"/>
      <c r="AJ199" s="13"/>
      <c r="AK199" s="13"/>
      <c r="AL199" s="14"/>
    </row>
    <row r="200" spans="1:38" ht="15.75" customHeight="1" x14ac:dyDescent="0.15">
      <c r="A200" s="3">
        <v>0</v>
      </c>
      <c r="B200" s="3">
        <v>0</v>
      </c>
      <c r="C200" s="34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AI200" s="65"/>
      <c r="AJ200" s="13"/>
      <c r="AK200" s="13"/>
      <c r="AL200" s="14"/>
    </row>
    <row r="201" spans="1:38" ht="15.75" customHeight="1" x14ac:dyDescent="0.15">
      <c r="A201" s="3">
        <v>0</v>
      </c>
      <c r="B201" s="3">
        <v>0</v>
      </c>
      <c r="C201" s="34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AI201" s="14"/>
      <c r="AJ201" s="13"/>
      <c r="AK201" s="13"/>
      <c r="AL201" s="14"/>
    </row>
    <row r="202" spans="1:38" ht="15.75" customHeight="1" x14ac:dyDescent="0.15">
      <c r="A202" s="3">
        <v>0</v>
      </c>
      <c r="B202" s="3">
        <v>0</v>
      </c>
      <c r="C202" s="34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AI202" s="65"/>
      <c r="AJ202" s="13"/>
      <c r="AK202" s="13"/>
      <c r="AL202" s="14"/>
    </row>
    <row r="203" spans="1:38" ht="15.75" customHeight="1" x14ac:dyDescent="0.15">
      <c r="A203" s="3">
        <v>0</v>
      </c>
      <c r="B203" s="3">
        <v>0</v>
      </c>
      <c r="C203" s="34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AI203" s="14"/>
      <c r="AJ203" s="13"/>
      <c r="AK203" s="13"/>
      <c r="AL203" s="14"/>
    </row>
    <row r="204" spans="1:38" ht="15.75" customHeight="1" x14ac:dyDescent="0.15">
      <c r="A204" s="3">
        <v>0</v>
      </c>
      <c r="B204" s="3">
        <v>0</v>
      </c>
      <c r="C204" s="34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AI204" s="65"/>
      <c r="AJ204" s="13"/>
      <c r="AK204" s="13"/>
      <c r="AL204" s="14"/>
    </row>
    <row r="205" spans="1:38" ht="15.75" customHeight="1" x14ac:dyDescent="0.15">
      <c r="A205" s="3">
        <v>0</v>
      </c>
      <c r="B205" s="3">
        <v>0</v>
      </c>
      <c r="C205" s="34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</row>
    <row r="206" spans="1:38" ht="15.75" customHeight="1" x14ac:dyDescent="0.15">
      <c r="A206" s="3">
        <v>0</v>
      </c>
      <c r="B206" s="3">
        <v>0</v>
      </c>
      <c r="C206" s="34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</row>
    <row r="207" spans="1:38" ht="15.75" customHeight="1" x14ac:dyDescent="0.15">
      <c r="A207" s="3">
        <v>0</v>
      </c>
      <c r="B207" s="3">
        <v>0</v>
      </c>
      <c r="C207" s="34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</row>
    <row r="208" spans="1:38" ht="15.75" customHeight="1" x14ac:dyDescent="0.15">
      <c r="A208" s="3">
        <v>0</v>
      </c>
      <c r="B208" s="3">
        <v>0</v>
      </c>
      <c r="C208" s="34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</row>
    <row r="209" spans="1:8" ht="15.75" customHeight="1" x14ac:dyDescent="0.15">
      <c r="A209" s="3">
        <v>0</v>
      </c>
      <c r="B209" s="3">
        <v>0</v>
      </c>
      <c r="C209" s="34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</row>
    <row r="210" spans="1:8" ht="15.75" customHeight="1" x14ac:dyDescent="0.15">
      <c r="A210" s="3">
        <v>0</v>
      </c>
      <c r="B210" s="3">
        <v>0</v>
      </c>
      <c r="C210" s="34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</row>
    <row r="211" spans="1:8" ht="15.75" customHeight="1" x14ac:dyDescent="0.15">
      <c r="A211" s="3">
        <v>0</v>
      </c>
      <c r="B211" s="3">
        <v>0</v>
      </c>
      <c r="C211" s="34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</row>
    <row r="212" spans="1:8" ht="15.75" customHeight="1" x14ac:dyDescent="0.15">
      <c r="A212" s="3">
        <v>0</v>
      </c>
      <c r="B212" s="3">
        <v>0</v>
      </c>
      <c r="C212" s="34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</row>
    <row r="213" spans="1:8" ht="15.75" customHeight="1" x14ac:dyDescent="0.15">
      <c r="A213" s="3">
        <v>0</v>
      </c>
      <c r="B213" s="3">
        <v>0</v>
      </c>
      <c r="C213" s="34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</row>
    <row r="214" spans="1:8" ht="15.75" customHeight="1" x14ac:dyDescent="0.15">
      <c r="A214" s="3">
        <v>0</v>
      </c>
      <c r="B214" s="3">
        <v>0</v>
      </c>
      <c r="C214" s="34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</row>
    <row r="215" spans="1:8" ht="15.75" customHeight="1" x14ac:dyDescent="0.15">
      <c r="A215" s="3">
        <v>0</v>
      </c>
      <c r="B215" s="3">
        <v>0</v>
      </c>
      <c r="C215" s="34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</row>
    <row r="216" spans="1:8" ht="15.75" customHeight="1" x14ac:dyDescent="0.15">
      <c r="A216" s="3">
        <v>0</v>
      </c>
      <c r="B216" s="3">
        <v>0</v>
      </c>
      <c r="C216" s="34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</row>
    <row r="217" spans="1:8" ht="15.75" customHeight="1" x14ac:dyDescent="0.15">
      <c r="A217" s="3">
        <v>0</v>
      </c>
      <c r="B217" s="3">
        <v>0</v>
      </c>
      <c r="C217" s="34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</row>
    <row r="218" spans="1:8" ht="15.75" customHeight="1" x14ac:dyDescent="0.15">
      <c r="A218" s="3">
        <v>0</v>
      </c>
      <c r="B218" s="3">
        <v>0</v>
      </c>
      <c r="C218" s="34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</row>
    <row r="219" spans="1:8" ht="15.75" customHeight="1" x14ac:dyDescent="0.15">
      <c r="A219" s="3">
        <v>0</v>
      </c>
      <c r="B219" s="3">
        <v>0</v>
      </c>
      <c r="C219" s="34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</row>
    <row r="220" spans="1:8" ht="15.75" customHeight="1" x14ac:dyDescent="0.15">
      <c r="A220" s="3">
        <v>0</v>
      </c>
      <c r="B220" s="3">
        <v>0</v>
      </c>
      <c r="C220" s="34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</row>
    <row r="221" spans="1:8" ht="15.75" customHeight="1" x14ac:dyDescent="0.15">
      <c r="A221" s="3">
        <v>0</v>
      </c>
      <c r="B221" s="3">
        <v>0</v>
      </c>
      <c r="C221" s="34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</row>
    <row r="222" spans="1:8" ht="15.75" customHeight="1" x14ac:dyDescent="0.15">
      <c r="A222" s="3">
        <v>0</v>
      </c>
      <c r="B222" s="3">
        <v>0</v>
      </c>
      <c r="C222" s="34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</row>
    <row r="223" spans="1:8" ht="15.75" customHeight="1" x14ac:dyDescent="0.15">
      <c r="A223" s="3">
        <v>0</v>
      </c>
      <c r="B223" s="3">
        <v>0</v>
      </c>
      <c r="C223" s="34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</row>
    <row r="224" spans="1:8" ht="15.75" customHeight="1" x14ac:dyDescent="0.15">
      <c r="A224" s="3">
        <v>0</v>
      </c>
      <c r="B224" s="3">
        <v>0</v>
      </c>
      <c r="C224" s="34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</row>
    <row r="225" spans="1:8" ht="15.75" customHeight="1" x14ac:dyDescent="0.15">
      <c r="A225" s="3">
        <v>0</v>
      </c>
      <c r="B225" s="3">
        <v>0</v>
      </c>
      <c r="C225" s="34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</row>
    <row r="226" spans="1:8" ht="15.75" customHeight="1" x14ac:dyDescent="0.15">
      <c r="A226" s="3">
        <v>0</v>
      </c>
      <c r="B226" s="3">
        <v>0</v>
      </c>
      <c r="C226" s="34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</row>
    <row r="227" spans="1:8" ht="15.75" customHeight="1" x14ac:dyDescent="0.15">
      <c r="A227" s="3">
        <v>0</v>
      </c>
      <c r="B227" s="3">
        <v>0</v>
      </c>
      <c r="C227" s="34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</row>
    <row r="228" spans="1:8" ht="15.75" customHeight="1" x14ac:dyDescent="0.15">
      <c r="A228" s="3">
        <v>0</v>
      </c>
      <c r="B228" s="3">
        <v>0</v>
      </c>
      <c r="C228" s="34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</row>
    <row r="229" spans="1:8" ht="15.75" customHeight="1" x14ac:dyDescent="0.15">
      <c r="A229" s="3">
        <v>0</v>
      </c>
      <c r="B229" s="3">
        <v>0</v>
      </c>
      <c r="C229" s="34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</row>
    <row r="230" spans="1:8" ht="15.75" customHeight="1" x14ac:dyDescent="0.15">
      <c r="A230" s="3">
        <v>0</v>
      </c>
      <c r="B230" s="3">
        <v>0</v>
      </c>
      <c r="C230" s="34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</row>
    <row r="231" spans="1:8" ht="15.75" customHeight="1" x14ac:dyDescent="0.15">
      <c r="A231" s="3">
        <v>0</v>
      </c>
      <c r="B231" s="3">
        <v>0</v>
      </c>
      <c r="C231" s="34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</row>
    <row r="232" spans="1:8" ht="15.75" customHeight="1" x14ac:dyDescent="0.15">
      <c r="A232" s="3">
        <v>0</v>
      </c>
      <c r="B232" s="3">
        <v>0</v>
      </c>
      <c r="C232" s="34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</row>
    <row r="233" spans="1:8" ht="15.75" customHeight="1" x14ac:dyDescent="0.15">
      <c r="A233" s="3">
        <v>0</v>
      </c>
      <c r="B233" s="3">
        <v>0</v>
      </c>
      <c r="C233" s="34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</row>
    <row r="234" spans="1:8" ht="15.75" customHeight="1" x14ac:dyDescent="0.15">
      <c r="A234" s="3">
        <v>0</v>
      </c>
      <c r="B234" s="3">
        <v>0</v>
      </c>
      <c r="C234" s="34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</row>
    <row r="235" spans="1:8" ht="15.75" customHeight="1" x14ac:dyDescent="0.15">
      <c r="A235" s="3">
        <v>0</v>
      </c>
      <c r="B235" s="3">
        <v>0</v>
      </c>
      <c r="C235" s="34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</row>
    <row r="236" spans="1:8" ht="15.75" customHeight="1" x14ac:dyDescent="0.15">
      <c r="A236" s="3">
        <v>0</v>
      </c>
      <c r="B236" s="3">
        <v>0</v>
      </c>
      <c r="C236" s="34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</row>
    <row r="237" spans="1:8" ht="15.75" customHeight="1" x14ac:dyDescent="0.15">
      <c r="A237" s="3">
        <v>0</v>
      </c>
      <c r="B237" s="3">
        <v>0</v>
      </c>
      <c r="C237" s="34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</row>
    <row r="238" spans="1:8" ht="15.75" customHeight="1" x14ac:dyDescent="0.15">
      <c r="A238" s="3">
        <v>0</v>
      </c>
      <c r="B238" s="3">
        <v>0</v>
      </c>
      <c r="C238" s="34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</row>
    <row r="239" spans="1:8" ht="15.75" customHeight="1" x14ac:dyDescent="0.15">
      <c r="A239" s="3">
        <v>0</v>
      </c>
      <c r="B239" s="3">
        <v>0</v>
      </c>
      <c r="C239" s="34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</row>
    <row r="240" spans="1:8" ht="15.75" customHeight="1" x14ac:dyDescent="0.15">
      <c r="A240" s="3">
        <v>0</v>
      </c>
      <c r="B240" s="3">
        <v>0</v>
      </c>
      <c r="C240" s="34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</row>
    <row r="241" spans="1:8" ht="15.75" customHeight="1" x14ac:dyDescent="0.15">
      <c r="A241" s="3">
        <v>0</v>
      </c>
      <c r="B241" s="3">
        <v>0</v>
      </c>
      <c r="C241" s="34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</row>
    <row r="242" spans="1:8" ht="15.75" customHeight="1" x14ac:dyDescent="0.15">
      <c r="A242" s="3">
        <v>0</v>
      </c>
      <c r="B242" s="3">
        <v>0</v>
      </c>
      <c r="C242" s="34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</row>
    <row r="243" spans="1:8" ht="15.75" customHeight="1" x14ac:dyDescent="0.15">
      <c r="A243" s="3">
        <v>0</v>
      </c>
      <c r="B243" s="3">
        <v>0</v>
      </c>
      <c r="C243" s="34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</row>
    <row r="244" spans="1:8" ht="15.75" customHeight="1" x14ac:dyDescent="0.15">
      <c r="A244" s="3">
        <v>0</v>
      </c>
      <c r="B244" s="3">
        <v>0</v>
      </c>
      <c r="C244" s="34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</row>
    <row r="245" spans="1:8" ht="15.75" customHeight="1" x14ac:dyDescent="0.15">
      <c r="A245" s="3">
        <v>0</v>
      </c>
      <c r="B245" s="3">
        <v>0</v>
      </c>
      <c r="C245" s="34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</row>
    <row r="246" spans="1:8" ht="15.75" customHeight="1" x14ac:dyDescent="0.15">
      <c r="A246" s="3">
        <v>0</v>
      </c>
      <c r="B246" s="3">
        <v>0</v>
      </c>
      <c r="C246" s="34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</row>
    <row r="247" spans="1:8" ht="15.75" customHeight="1" x14ac:dyDescent="0.15">
      <c r="A247" s="3">
        <v>0</v>
      </c>
      <c r="B247" s="3">
        <v>0</v>
      </c>
      <c r="C247" s="34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</row>
    <row r="248" spans="1:8" ht="15.75" customHeight="1" x14ac:dyDescent="0.15">
      <c r="A248" s="3">
        <v>0</v>
      </c>
      <c r="B248" s="3">
        <v>0</v>
      </c>
      <c r="C248" s="34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</row>
    <row r="249" spans="1:8" ht="15.75" customHeight="1" x14ac:dyDescent="0.15">
      <c r="A249" s="3">
        <v>0</v>
      </c>
      <c r="B249" s="3">
        <v>0</v>
      </c>
      <c r="C249" s="34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</row>
    <row r="250" spans="1:8" ht="15.75" customHeight="1" x14ac:dyDescent="0.15">
      <c r="A250" s="3">
        <v>0</v>
      </c>
      <c r="B250" s="3">
        <v>0</v>
      </c>
      <c r="C250" s="34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</row>
    <row r="251" spans="1:8" ht="15.75" customHeight="1" x14ac:dyDescent="0.15">
      <c r="A251" s="3">
        <v>0</v>
      </c>
      <c r="B251" s="3">
        <v>0</v>
      </c>
      <c r="C251" s="34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</row>
    <row r="252" spans="1:8" ht="15.75" customHeight="1" x14ac:dyDescent="0.15">
      <c r="A252" s="3">
        <v>0</v>
      </c>
      <c r="B252" s="3">
        <v>0</v>
      </c>
      <c r="C252" s="34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</row>
    <row r="253" spans="1:8" ht="15.75" customHeight="1" x14ac:dyDescent="0.15">
      <c r="A253" s="3">
        <v>0</v>
      </c>
      <c r="B253" s="3">
        <v>0</v>
      </c>
      <c r="C253" s="34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</row>
    <row r="254" spans="1:8" ht="15.75" customHeight="1" x14ac:dyDescent="0.15">
      <c r="A254" s="3">
        <v>0</v>
      </c>
      <c r="B254" s="3">
        <v>0</v>
      </c>
      <c r="C254" s="34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</row>
    <row r="255" spans="1:8" ht="15.75" customHeight="1" x14ac:dyDescent="0.15">
      <c r="A255" s="3">
        <v>0</v>
      </c>
      <c r="B255" s="3">
        <v>0</v>
      </c>
      <c r="C255" s="34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</row>
    <row r="256" spans="1:8" ht="15.75" customHeight="1" x14ac:dyDescent="0.15">
      <c r="A256" s="3">
        <v>0</v>
      </c>
      <c r="B256" s="3">
        <v>0</v>
      </c>
      <c r="C256" s="34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</row>
    <row r="257" spans="1:8" ht="15.75" customHeight="1" x14ac:dyDescent="0.15">
      <c r="A257" s="3">
        <v>0</v>
      </c>
      <c r="B257" s="3">
        <v>0</v>
      </c>
      <c r="C257" s="34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</row>
    <row r="258" spans="1:8" ht="15.75" customHeight="1" x14ac:dyDescent="0.15">
      <c r="A258" s="3">
        <v>0</v>
      </c>
      <c r="B258" s="3">
        <v>0</v>
      </c>
      <c r="C258" s="34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</row>
    <row r="259" spans="1:8" ht="15.75" customHeight="1" x14ac:dyDescent="0.15">
      <c r="A259" s="3">
        <v>0</v>
      </c>
      <c r="B259" s="3">
        <v>0</v>
      </c>
      <c r="C259" s="34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</row>
    <row r="260" spans="1:8" ht="15.75" customHeight="1" x14ac:dyDescent="0.15">
      <c r="A260" s="3">
        <v>0</v>
      </c>
      <c r="B260" s="3">
        <v>0</v>
      </c>
      <c r="C260" s="34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</row>
    <row r="261" spans="1:8" ht="15.75" customHeight="1" x14ac:dyDescent="0.15">
      <c r="A261" s="3">
        <v>0</v>
      </c>
      <c r="B261" s="3">
        <v>0</v>
      </c>
      <c r="C261" s="34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</row>
    <row r="262" spans="1:8" ht="15.75" customHeight="1" x14ac:dyDescent="0.15">
      <c r="A262" s="3">
        <v>0</v>
      </c>
      <c r="B262" s="3">
        <v>0</v>
      </c>
      <c r="C262" s="34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</row>
    <row r="263" spans="1:8" ht="15.75" customHeight="1" x14ac:dyDescent="0.15">
      <c r="A263" s="3">
        <v>0</v>
      </c>
      <c r="B263" s="3">
        <v>0</v>
      </c>
      <c r="C263" s="34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</row>
    <row r="264" spans="1:8" ht="15.75" customHeight="1" x14ac:dyDescent="0.15">
      <c r="A264" s="3">
        <v>0</v>
      </c>
      <c r="B264" s="3">
        <v>0</v>
      </c>
      <c r="C264" s="34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</row>
    <row r="265" spans="1:8" ht="15.75" customHeight="1" x14ac:dyDescent="0.15">
      <c r="A265" s="3">
        <v>0</v>
      </c>
      <c r="B265" s="3">
        <v>0</v>
      </c>
      <c r="C265" s="34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</row>
    <row r="266" spans="1:8" ht="15.75" customHeight="1" x14ac:dyDescent="0.15">
      <c r="A266" s="3">
        <v>0</v>
      </c>
      <c r="B266" s="3">
        <v>0</v>
      </c>
      <c r="C266" s="34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</row>
    <row r="267" spans="1:8" ht="15.75" customHeight="1" x14ac:dyDescent="0.15">
      <c r="A267" s="3">
        <v>0</v>
      </c>
      <c r="B267" s="3">
        <v>0</v>
      </c>
      <c r="C267" s="34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</row>
    <row r="268" spans="1:8" ht="15.75" customHeight="1" x14ac:dyDescent="0.15">
      <c r="A268" s="3">
        <v>0</v>
      </c>
      <c r="B268" s="3">
        <v>0</v>
      </c>
      <c r="C268" s="34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</row>
    <row r="269" spans="1:8" ht="15.75" customHeight="1" x14ac:dyDescent="0.15">
      <c r="A269" s="3">
        <v>0</v>
      </c>
      <c r="B269" s="3">
        <v>0</v>
      </c>
      <c r="C269" s="34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</row>
    <row r="270" spans="1:8" ht="15.75" customHeight="1" x14ac:dyDescent="0.15">
      <c r="A270" s="3">
        <v>0</v>
      </c>
      <c r="B270" s="3">
        <v>0</v>
      </c>
      <c r="C270" s="34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</row>
    <row r="271" spans="1:8" ht="15.75" customHeight="1" x14ac:dyDescent="0.15">
      <c r="A271" s="3">
        <v>0</v>
      </c>
      <c r="B271" s="3">
        <v>0</v>
      </c>
      <c r="C271" s="34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</row>
    <row r="272" spans="1:8" ht="15.75" customHeight="1" x14ac:dyDescent="0.15">
      <c r="A272" s="3">
        <v>0</v>
      </c>
      <c r="B272" s="3">
        <v>0</v>
      </c>
      <c r="C272" s="34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</row>
    <row r="273" spans="1:8" ht="15.75" customHeight="1" x14ac:dyDescent="0.15">
      <c r="A273" s="3">
        <v>0</v>
      </c>
      <c r="B273" s="3">
        <v>0</v>
      </c>
      <c r="C273" s="34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</row>
    <row r="274" spans="1:8" ht="15.75" customHeight="1" x14ac:dyDescent="0.15">
      <c r="A274" s="3">
        <v>0</v>
      </c>
      <c r="B274" s="3">
        <v>0</v>
      </c>
      <c r="C274" s="34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</row>
    <row r="275" spans="1:8" ht="15.75" customHeight="1" x14ac:dyDescent="0.15">
      <c r="A275" s="3">
        <v>0</v>
      </c>
      <c r="B275" s="3">
        <v>0</v>
      </c>
      <c r="C275" s="34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</row>
    <row r="276" spans="1:8" ht="15.75" customHeight="1" x14ac:dyDescent="0.15">
      <c r="A276" s="3">
        <v>0</v>
      </c>
      <c r="B276" s="3">
        <v>0</v>
      </c>
      <c r="C276" s="34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</row>
    <row r="277" spans="1:8" ht="15.75" customHeight="1" x14ac:dyDescent="0.15">
      <c r="A277" s="3">
        <v>0</v>
      </c>
      <c r="B277" s="3">
        <v>0</v>
      </c>
      <c r="C277" s="34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</row>
    <row r="278" spans="1:8" ht="15.75" customHeight="1" x14ac:dyDescent="0.15">
      <c r="A278" s="3">
        <v>0</v>
      </c>
      <c r="B278" s="3">
        <v>0</v>
      </c>
      <c r="C278" s="34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</row>
    <row r="279" spans="1:8" ht="15.75" customHeight="1" x14ac:dyDescent="0.15">
      <c r="A279" s="3">
        <v>0</v>
      </c>
      <c r="B279" s="3">
        <v>0</v>
      </c>
      <c r="C279" s="34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</row>
    <row r="280" spans="1:8" ht="15.75" customHeight="1" x14ac:dyDescent="0.15">
      <c r="A280" s="3">
        <v>0</v>
      </c>
      <c r="B280" s="3">
        <v>0</v>
      </c>
      <c r="C280" s="34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</row>
    <row r="281" spans="1:8" ht="15.75" customHeight="1" x14ac:dyDescent="0.15">
      <c r="A281" s="3">
        <v>0</v>
      </c>
      <c r="B281" s="3">
        <v>0</v>
      </c>
      <c r="C281" s="34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</row>
    <row r="282" spans="1:8" ht="15.75" customHeight="1" x14ac:dyDescent="0.15">
      <c r="A282" s="3">
        <v>0</v>
      </c>
      <c r="B282" s="3">
        <v>0</v>
      </c>
      <c r="C282" s="34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</row>
    <row r="283" spans="1:8" ht="15.75" customHeight="1" x14ac:dyDescent="0.15">
      <c r="A283" s="3">
        <v>0</v>
      </c>
      <c r="B283" s="3">
        <v>0</v>
      </c>
      <c r="C283" s="34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</row>
    <row r="284" spans="1:8" ht="15.75" customHeight="1" x14ac:dyDescent="0.15">
      <c r="A284" s="3">
        <v>0</v>
      </c>
      <c r="B284" s="3">
        <v>0</v>
      </c>
      <c r="C284" s="34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</row>
    <row r="285" spans="1:8" ht="15.75" customHeight="1" x14ac:dyDescent="0.15">
      <c r="A285" s="3">
        <v>0</v>
      </c>
      <c r="B285" s="3">
        <v>0</v>
      </c>
      <c r="C285" s="34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</row>
    <row r="286" spans="1:8" ht="15.75" customHeight="1" x14ac:dyDescent="0.15">
      <c r="A286" s="3">
        <v>0</v>
      </c>
      <c r="B286" s="3">
        <v>0</v>
      </c>
      <c r="C286" s="34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</row>
    <row r="287" spans="1:8" ht="15.75" customHeight="1" x14ac:dyDescent="0.15">
      <c r="A287" s="3">
        <v>0</v>
      </c>
      <c r="B287" s="3">
        <v>0</v>
      </c>
      <c r="C287" s="34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</row>
    <row r="288" spans="1:8" ht="15.75" customHeight="1" x14ac:dyDescent="0.15">
      <c r="A288" s="3">
        <v>0</v>
      </c>
      <c r="B288" s="3">
        <v>0</v>
      </c>
      <c r="C288" s="34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</row>
    <row r="289" spans="1:8" ht="15.75" customHeight="1" x14ac:dyDescent="0.15">
      <c r="A289" s="3">
        <v>0</v>
      </c>
      <c r="B289" s="3">
        <v>0</v>
      </c>
      <c r="C289" s="34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</row>
    <row r="290" spans="1:8" ht="15.75" customHeight="1" x14ac:dyDescent="0.15">
      <c r="A290" s="3">
        <v>0</v>
      </c>
      <c r="B290" s="3">
        <v>0</v>
      </c>
      <c r="C290" s="34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</row>
    <row r="291" spans="1:8" ht="15.75" customHeight="1" x14ac:dyDescent="0.15">
      <c r="A291" s="3">
        <v>0</v>
      </c>
      <c r="B291" s="3">
        <v>0</v>
      </c>
      <c r="C291" s="34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</row>
    <row r="292" spans="1:8" ht="15.75" customHeight="1" x14ac:dyDescent="0.15">
      <c r="A292" s="3">
        <v>0</v>
      </c>
      <c r="B292" s="3">
        <v>0</v>
      </c>
      <c r="C292" s="34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</row>
    <row r="293" spans="1:8" ht="15.75" customHeight="1" x14ac:dyDescent="0.15">
      <c r="A293" s="3">
        <v>0</v>
      </c>
      <c r="B293" s="3">
        <v>0</v>
      </c>
      <c r="C293" s="34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</row>
    <row r="294" spans="1:8" ht="15.75" customHeight="1" x14ac:dyDescent="0.15">
      <c r="A294" s="3">
        <v>0</v>
      </c>
      <c r="B294" s="3">
        <v>0</v>
      </c>
      <c r="C294" s="34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</row>
    <row r="295" spans="1:8" ht="15.75" customHeight="1" x14ac:dyDescent="0.15">
      <c r="A295" s="3">
        <v>0</v>
      </c>
      <c r="B295" s="3">
        <v>0</v>
      </c>
      <c r="C295" s="34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</row>
    <row r="296" spans="1:8" ht="15.75" customHeight="1" x14ac:dyDescent="0.15">
      <c r="A296" s="3">
        <v>0</v>
      </c>
      <c r="B296" s="3">
        <v>0</v>
      </c>
      <c r="C296" s="34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</row>
    <row r="297" spans="1:8" ht="15.75" customHeight="1" x14ac:dyDescent="0.15">
      <c r="A297" s="3">
        <v>0</v>
      </c>
      <c r="B297" s="3">
        <v>0</v>
      </c>
      <c r="C297" s="34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</row>
    <row r="298" spans="1:8" ht="15.75" customHeight="1" x14ac:dyDescent="0.15">
      <c r="A298" s="3">
        <v>0</v>
      </c>
      <c r="B298" s="3">
        <v>0</v>
      </c>
      <c r="C298" s="34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</row>
    <row r="299" spans="1:8" ht="12.75" customHeight="1" x14ac:dyDescent="0.15">
      <c r="A299" s="3">
        <v>0</v>
      </c>
      <c r="B299" s="3">
        <v>0</v>
      </c>
      <c r="C299" s="34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</row>
    <row r="300" spans="1:8" ht="12.75" customHeight="1" x14ac:dyDescent="0.15">
      <c r="A300" s="3">
        <v>0</v>
      </c>
      <c r="B300" s="3">
        <v>0</v>
      </c>
      <c r="C300" s="34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</row>
  </sheetData>
  <mergeCells count="1">
    <mergeCell ref="T2:U2"/>
  </mergeCells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zoomScaleNormal="100" workbookViewId="0">
      <selection activeCell="D18" sqref="D18"/>
    </sheetView>
  </sheetViews>
  <sheetFormatPr baseColWidth="10" defaultColWidth="9" defaultRowHeight="13" x14ac:dyDescent="0.15"/>
  <cols>
    <col min="1" max="1" width="25" customWidth="1"/>
    <col min="2" max="2" width="10.5" customWidth="1"/>
    <col min="3" max="3" width="7.5" customWidth="1"/>
    <col min="4" max="4" width="55" style="86" customWidth="1"/>
  </cols>
  <sheetData>
    <row r="1" spans="1:4" ht="12.75" customHeight="1" x14ac:dyDescent="0.15">
      <c r="A1" s="5" t="s">
        <v>483</v>
      </c>
      <c r="B1" s="5" t="s">
        <v>484</v>
      </c>
      <c r="C1" s="14"/>
      <c r="D1" s="14"/>
    </row>
    <row r="2" spans="1:4" ht="12.75" customHeight="1" x14ac:dyDescent="0.15">
      <c r="A2" s="14">
        <f>uzuvgün!B37</f>
        <v>9</v>
      </c>
      <c r="B2" s="14">
        <f>kazatürüuzuv!AK24</f>
        <v>0</v>
      </c>
      <c r="C2" s="14"/>
      <c r="D2" s="87" t="str">
        <f>IF(A2=B2,"uzuv-gün ve kazatürü-uzuv tabloları birbirini doğruluyor","HATA!")</f>
        <v>HATA!</v>
      </c>
    </row>
    <row r="3" spans="1:4" ht="12.75" customHeight="1" x14ac:dyDescent="0.15">
      <c r="A3" s="14">
        <f>uzuvgün!B4</f>
        <v>0</v>
      </c>
      <c r="B3" s="14">
        <f>kazatürüuzuv!B24</f>
        <v>0</v>
      </c>
      <c r="C3" s="14"/>
      <c r="D3" s="88" t="str">
        <f>IF(A3=B3,"baş; tamam","baş; hata var")</f>
        <v>baş; tamam</v>
      </c>
    </row>
    <row r="4" spans="1:4" ht="12.75" customHeight="1" x14ac:dyDescent="0.15">
      <c r="A4" s="14">
        <f>uzuvgün!B10</f>
        <v>0</v>
      </c>
      <c r="B4" s="14">
        <f>kazatürüuzuv!H24</f>
        <v>0</v>
      </c>
      <c r="C4" s="14"/>
      <c r="D4" s="88" t="str">
        <f>IF(A4=B4,"boyun; tamam","boyun; hata var")</f>
        <v>boyun; tamam</v>
      </c>
    </row>
    <row r="5" spans="1:4" ht="12.75" customHeight="1" x14ac:dyDescent="0.15">
      <c r="A5" s="14">
        <f>uzuvgün!B11</f>
        <v>2</v>
      </c>
      <c r="B5" s="14">
        <f>kazatürüuzuv!I24</f>
        <v>0</v>
      </c>
      <c r="C5" s="14"/>
      <c r="D5" s="88" t="str">
        <f>IF(A5=B5,"kol; tamam","kol; hata var")</f>
        <v>kol; hata var</v>
      </c>
    </row>
    <row r="6" spans="1:4" ht="12.75" customHeight="1" x14ac:dyDescent="0.15">
      <c r="A6" s="14">
        <f>uzuvgün!B17</f>
        <v>0</v>
      </c>
      <c r="B6" s="14">
        <f>kazatürüuzuv!O24</f>
        <v>0</v>
      </c>
      <c r="C6" s="14"/>
      <c r="D6" s="88" t="str">
        <f>IF(A6=B6,"el; tamam","el; hata var")</f>
        <v>el; tamam</v>
      </c>
    </row>
    <row r="7" spans="1:4" ht="12.75" customHeight="1" x14ac:dyDescent="0.15">
      <c r="A7" s="14">
        <f>uzuvgün!B19</f>
        <v>0</v>
      </c>
      <c r="B7" s="14">
        <f>kazatürüuzuv!Q24</f>
        <v>0</v>
      </c>
      <c r="C7" s="14"/>
      <c r="D7" s="88" t="str">
        <f>IF(A7=B7,"bacak; tamam","bacak; hata var")</f>
        <v>bacak; tamam</v>
      </c>
    </row>
    <row r="8" spans="1:4" ht="12.75" customHeight="1" x14ac:dyDescent="0.15">
      <c r="A8" s="14">
        <f>uzuvgün!B21</f>
        <v>0</v>
      </c>
      <c r="B8" s="14">
        <f>kazatürüuzuv!S24</f>
        <v>0</v>
      </c>
      <c r="C8" s="14"/>
      <c r="D8" s="88" t="str">
        <f>IF(A8=B8,"diz; tamam","diz; hata var")</f>
        <v>diz; tamam</v>
      </c>
    </row>
    <row r="9" spans="1:4" ht="12.75" customHeight="1" x14ac:dyDescent="0.15">
      <c r="A9" s="14">
        <f>uzuvgün!B26</f>
        <v>0</v>
      </c>
      <c r="B9" s="14">
        <f>kazatürüuzuv!X24</f>
        <v>0</v>
      </c>
      <c r="C9" s="14"/>
      <c r="D9" s="88" t="str">
        <f>IF(A9=B9,"gövde; tamam","gövde; hata var")</f>
        <v>gövde; tamam</v>
      </c>
    </row>
    <row r="10" spans="1:4" ht="12.75" customHeight="1" x14ac:dyDescent="0.15">
      <c r="A10" s="14"/>
      <c r="B10" s="14"/>
      <c r="C10" s="14"/>
      <c r="D10" s="14"/>
    </row>
    <row r="11" spans="1:4" ht="12.75" customHeight="1" x14ac:dyDescent="0.15">
      <c r="A11" s="89" t="s">
        <v>485</v>
      </c>
      <c r="B11" s="14"/>
      <c r="C11" s="14"/>
      <c r="D11" s="14"/>
    </row>
    <row r="12" spans="1:4" ht="12.75" customHeight="1" x14ac:dyDescent="0.15">
      <c r="A12" s="14"/>
      <c r="B12" s="13"/>
      <c r="C12" s="13"/>
      <c r="D12" s="13"/>
    </row>
    <row r="13" spans="1:4" s="91" customFormat="1" ht="24.75" customHeight="1" x14ac:dyDescent="0.2">
      <c r="A13" s="88" t="s">
        <v>486</v>
      </c>
      <c r="B13" s="13"/>
      <c r="C13" s="88">
        <f>kazatürü!C137</f>
        <v>0</v>
      </c>
      <c r="D13" s="90" t="str">
        <f>IF(AND(C13=C14,C14=C15,C15=C16,C16=C17,C17=C18,C18=C19,C19=C20,C20=C21,C21=C22,C22=C23),"TÜM TABLOLAR TUTARLI ✓","HATA VAR!")</f>
        <v>HATA VAR!</v>
      </c>
    </row>
    <row r="14" spans="1:4" s="92" customFormat="1" ht="15.75" customHeight="1" x14ac:dyDescent="0.2">
      <c r="A14" s="88" t="s">
        <v>487</v>
      </c>
      <c r="B14" s="14"/>
      <c r="C14" s="88">
        <f>kazatürüyer!Z24</f>
        <v>0</v>
      </c>
      <c r="D14" s="58"/>
    </row>
    <row r="15" spans="1:4" s="92" customFormat="1" ht="15.75" customHeight="1" x14ac:dyDescent="0.2">
      <c r="A15" s="88" t="s">
        <v>488</v>
      </c>
      <c r="B15" s="14"/>
      <c r="C15" s="88">
        <f>sanatkazatürü!CG24</f>
        <v>0</v>
      </c>
      <c r="D15" s="58"/>
    </row>
    <row r="16" spans="1:4" s="92" customFormat="1" ht="15.75" customHeight="1" x14ac:dyDescent="0.2">
      <c r="A16" s="88" t="s">
        <v>489</v>
      </c>
      <c r="B16" s="14"/>
      <c r="C16" s="88">
        <f>sanatyer!Z87</f>
        <v>9</v>
      </c>
      <c r="D16" s="58"/>
    </row>
    <row r="17" spans="1:4" s="92" customFormat="1" ht="15.75" customHeight="1" x14ac:dyDescent="0.2">
      <c r="A17" s="88" t="s">
        <v>490</v>
      </c>
      <c r="B17" s="14"/>
      <c r="C17" s="88">
        <f>kazatürüuzuv!AK24</f>
        <v>0</v>
      </c>
      <c r="D17" s="58"/>
    </row>
    <row r="18" spans="1:4" s="92" customFormat="1" ht="15.75" customHeight="1" x14ac:dyDescent="0.2">
      <c r="A18" s="88" t="s">
        <v>491</v>
      </c>
      <c r="B18" s="14"/>
      <c r="C18" s="88">
        <f>zaman!B16</f>
        <v>8</v>
      </c>
      <c r="D18" s="58"/>
    </row>
    <row r="19" spans="1:4" s="92" customFormat="1" ht="15.75" customHeight="1" x14ac:dyDescent="0.2">
      <c r="A19" s="88" t="s">
        <v>492</v>
      </c>
      <c r="B19" s="14"/>
      <c r="C19" s="88">
        <f>zaman!F11</f>
        <v>8</v>
      </c>
      <c r="D19" s="58"/>
    </row>
    <row r="20" spans="1:4" s="92" customFormat="1" ht="15.75" customHeight="1" x14ac:dyDescent="0.2">
      <c r="A20" s="88" t="s">
        <v>493</v>
      </c>
      <c r="B20" s="14"/>
      <c r="C20" s="88">
        <f>zaman!J16</f>
        <v>9</v>
      </c>
      <c r="D20" s="58"/>
    </row>
    <row r="21" spans="1:4" s="92" customFormat="1" ht="15.75" customHeight="1" x14ac:dyDescent="0.2">
      <c r="A21" s="88" t="s">
        <v>494</v>
      </c>
      <c r="B21" s="14"/>
      <c r="C21" s="88">
        <f>uzuvgün!B37</f>
        <v>9</v>
      </c>
      <c r="D21" s="58"/>
    </row>
    <row r="22" spans="1:4" s="92" customFormat="1" ht="15.75" customHeight="1" x14ac:dyDescent="0.2">
      <c r="A22" s="88" t="s">
        <v>495</v>
      </c>
      <c r="B22" s="14"/>
      <c r="C22" s="88">
        <f>uzuvgün!F9</f>
        <v>4</v>
      </c>
      <c r="D22" s="58"/>
    </row>
    <row r="23" spans="1:4" ht="12.75" customHeight="1" x14ac:dyDescent="0.15">
      <c r="A23" s="88" t="s">
        <v>496</v>
      </c>
      <c r="B23" s="14"/>
      <c r="C23" s="88">
        <f>yas!B11</f>
        <v>8</v>
      </c>
      <c r="D23" s="58"/>
    </row>
    <row r="24" spans="1:4" ht="12.75" customHeight="1" x14ac:dyDescent="0.15">
      <c r="A24" s="14"/>
      <c r="B24" s="14"/>
      <c r="C24" s="14"/>
      <c r="D24" s="14"/>
    </row>
    <row r="25" spans="1:4" ht="12.75" customHeight="1" x14ac:dyDescent="0.15">
      <c r="A25" s="14"/>
      <c r="B25" s="14"/>
      <c r="C25" s="14"/>
      <c r="D25" s="14"/>
    </row>
    <row r="26" spans="1:4" ht="12.75" customHeight="1" x14ac:dyDescent="0.15">
      <c r="A26" s="88" t="s">
        <v>497</v>
      </c>
      <c r="B26" s="14"/>
      <c r="C26" s="14">
        <f>göcük!CE13</f>
        <v>0</v>
      </c>
      <c r="D26" s="14"/>
    </row>
    <row r="27" spans="1:4" ht="12.75" customHeight="1" x14ac:dyDescent="0.15">
      <c r="A27" s="88" t="s">
        <v>498</v>
      </c>
      <c r="B27" s="14"/>
      <c r="C27" s="14">
        <f>elletasima!CE9</f>
        <v>0</v>
      </c>
      <c r="D27" s="93"/>
    </row>
    <row r="28" spans="1:4" ht="12.75" customHeight="1" x14ac:dyDescent="0.15">
      <c r="A28" s="88" t="s">
        <v>499</v>
      </c>
      <c r="B28" s="14"/>
      <c r="C28" s="14">
        <f>düsme!CE12</f>
        <v>3</v>
      </c>
      <c r="D28" s="14"/>
    </row>
    <row r="29" spans="1:4" ht="12.75" customHeight="1" x14ac:dyDescent="0.15">
      <c r="A29" s="14"/>
      <c r="B29" s="14"/>
      <c r="C29" s="14"/>
      <c r="D29" s="93"/>
    </row>
    <row r="30" spans="1:4" ht="12.75" customHeight="1" x14ac:dyDescent="0.15">
      <c r="A30" s="14"/>
      <c r="B30" s="14"/>
      <c r="C30" s="14"/>
      <c r="D30" s="14"/>
    </row>
    <row r="31" spans="1:4" ht="12.75" customHeight="1" x14ac:dyDescent="0.15">
      <c r="A31" s="14"/>
      <c r="B31" s="14"/>
      <c r="C31" s="14"/>
      <c r="D31" s="93"/>
    </row>
    <row r="32" spans="1:4" ht="12.75" customHeight="1" x14ac:dyDescent="0.15">
      <c r="A32" s="14"/>
      <c r="B32" s="14"/>
      <c r="C32" s="14"/>
      <c r="D32" s="14"/>
    </row>
    <row r="33" spans="1:4" ht="12.75" customHeight="1" x14ac:dyDescent="0.15">
      <c r="A33" s="14"/>
      <c r="B33" s="14"/>
      <c r="C33" s="14"/>
      <c r="D33" s="14"/>
    </row>
    <row r="34" spans="1:4" ht="12.75" customHeight="1" x14ac:dyDescent="0.15">
      <c r="A34" s="14"/>
      <c r="B34" s="14"/>
      <c r="C34" s="14"/>
      <c r="D34" s="14"/>
    </row>
  </sheetData>
  <pageMargins left="0.75" right="0.75" top="1" bottom="1" header="0.5" footer="0.5"/>
  <pageSetup paperSize="9" orientation="landscape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42"/>
  <sheetViews>
    <sheetView zoomScaleNormal="100" workbookViewId="0">
      <selection activeCell="B3" sqref="B3"/>
    </sheetView>
  </sheetViews>
  <sheetFormatPr baseColWidth="10" defaultColWidth="9" defaultRowHeight="13" x14ac:dyDescent="0.15"/>
  <cols>
    <col min="1" max="1" width="30" customWidth="1"/>
    <col min="2" max="4" width="15" style="3" customWidth="1"/>
  </cols>
  <sheetData>
    <row r="1" spans="1:4" ht="12.75" customHeight="1" x14ac:dyDescent="0.15">
      <c r="A1" s="14"/>
      <c r="B1" s="14"/>
      <c r="C1" s="14"/>
      <c r="D1" s="14"/>
    </row>
    <row r="2" spans="1:4" ht="12.75" customHeight="1" x14ac:dyDescent="0.15">
      <c r="A2" s="13"/>
      <c r="B2" s="14"/>
      <c r="C2" s="14"/>
      <c r="D2" s="14"/>
    </row>
    <row r="3" spans="1:4" ht="16.5" customHeight="1" x14ac:dyDescent="0.25">
      <c r="A3" s="13"/>
      <c r="B3" s="94" t="s">
        <v>978</v>
      </c>
      <c r="C3" s="14"/>
      <c r="D3" s="14"/>
    </row>
    <row r="4" spans="1:4" ht="12.75" customHeight="1" x14ac:dyDescent="0.15">
      <c r="A4" s="14"/>
      <c r="B4" s="14"/>
      <c r="C4" s="14"/>
      <c r="D4" s="14"/>
    </row>
    <row r="5" spans="1:4" ht="12.75" customHeight="1" x14ac:dyDescent="0.15">
      <c r="A5" s="14"/>
      <c r="B5" s="14"/>
      <c r="C5" s="14"/>
      <c r="D5" s="14"/>
    </row>
    <row r="6" spans="1:4" ht="20.25" customHeight="1" x14ac:dyDescent="0.2">
      <c r="A6" s="95" t="s">
        <v>500</v>
      </c>
      <c r="B6" s="14"/>
      <c r="C6" s="14"/>
      <c r="D6" s="14"/>
    </row>
    <row r="7" spans="1:4" ht="12.75" customHeight="1" x14ac:dyDescent="0.15">
      <c r="A7" s="14"/>
      <c r="B7" s="14"/>
      <c r="C7" s="14"/>
      <c r="D7" s="14"/>
    </row>
    <row r="8" spans="1:4" ht="12.75" customHeight="1" x14ac:dyDescent="0.15">
      <c r="A8" s="14"/>
      <c r="B8" s="14"/>
      <c r="C8" s="14"/>
      <c r="D8" s="14"/>
    </row>
    <row r="9" spans="1:4" ht="12.75" customHeight="1" x14ac:dyDescent="0.15">
      <c r="A9" s="14"/>
      <c r="B9" s="14"/>
      <c r="C9" s="14"/>
      <c r="D9" s="14"/>
    </row>
    <row r="10" spans="1:4" ht="12.75" customHeight="1" x14ac:dyDescent="0.15">
      <c r="A10" s="14"/>
      <c r="B10" s="14"/>
      <c r="C10" s="14"/>
      <c r="D10" s="14"/>
    </row>
    <row r="11" spans="1:4" ht="16.5" customHeight="1" x14ac:dyDescent="0.15">
      <c r="A11" s="14"/>
      <c r="B11" s="5" t="s">
        <v>501</v>
      </c>
      <c r="C11" s="5" t="s">
        <v>502</v>
      </c>
      <c r="D11" s="5" t="s">
        <v>503</v>
      </c>
    </row>
    <row r="12" spans="1:4" ht="16.5" customHeight="1" x14ac:dyDescent="0.15">
      <c r="A12" s="14"/>
      <c r="B12" s="13"/>
      <c r="C12" s="13"/>
      <c r="D12" s="13"/>
    </row>
    <row r="13" spans="1:4" ht="16.5" customHeight="1" x14ac:dyDescent="0.15">
      <c r="A13" s="96" t="s">
        <v>504</v>
      </c>
      <c r="B13" s="97">
        <f>SUM(kazatürüyer!B24:M24)-B14</f>
        <v>0</v>
      </c>
      <c r="C13" s="97">
        <f>SUM(kazatürüyer!N24:Y24)-C14</f>
        <v>0</v>
      </c>
      <c r="D13" s="97">
        <f>B13+C13</f>
        <v>0</v>
      </c>
    </row>
    <row r="14" spans="1:4" ht="16.5" customHeight="1" x14ac:dyDescent="0.15">
      <c r="A14" s="96" t="s">
        <v>505</v>
      </c>
      <c r="B14" s="97">
        <f>program!AV2</f>
        <v>0</v>
      </c>
      <c r="C14" s="97">
        <f>program!AW2</f>
        <v>0</v>
      </c>
      <c r="D14" s="97">
        <f>B14+C14</f>
        <v>0</v>
      </c>
    </row>
    <row r="15" spans="1:4" ht="16.5" customHeight="1" x14ac:dyDescent="0.15">
      <c r="A15" s="96" t="s">
        <v>506</v>
      </c>
      <c r="B15" s="97">
        <f>B13+B14</f>
        <v>0</v>
      </c>
      <c r="C15" s="97">
        <f>C13+C14</f>
        <v>0</v>
      </c>
      <c r="D15" s="97">
        <f>B15+C15</f>
        <v>0</v>
      </c>
    </row>
    <row r="16" spans="1:4" ht="16.5" customHeight="1" x14ac:dyDescent="0.15">
      <c r="A16" s="14"/>
      <c r="B16" s="13"/>
      <c r="C16" s="13"/>
      <c r="D16" s="13"/>
    </row>
    <row r="17" spans="1:4" ht="16.5" customHeight="1" x14ac:dyDescent="0.15">
      <c r="A17" s="96" t="s">
        <v>507</v>
      </c>
      <c r="B17" s="97" t="e">
        <f>AVERAGE(veri!N2:N4,veri!N6:N8,veri!N10:N12,veri!N14:N16)</f>
        <v>#DIV/0!</v>
      </c>
      <c r="C17" s="98">
        <f>AVERAGE(veri!O2:O4,veri!O6:O8,veri!O10:O12,veri!O14:O16)</f>
        <v>230</v>
      </c>
      <c r="D17" s="97" t="e">
        <f>B17+C17</f>
        <v>#DIV/0!</v>
      </c>
    </row>
    <row r="18" spans="1:4" ht="16.5" customHeight="1" x14ac:dyDescent="0.15">
      <c r="A18" s="96" t="s">
        <v>508</v>
      </c>
      <c r="B18" s="98">
        <f>veri!Q17</f>
        <v>0</v>
      </c>
      <c r="C18" s="98">
        <f>veri!R17</f>
        <v>49652</v>
      </c>
      <c r="D18" s="97">
        <f>B18+C18</f>
        <v>49652</v>
      </c>
    </row>
    <row r="19" spans="1:4" ht="16.5" customHeight="1" x14ac:dyDescent="0.15">
      <c r="A19" s="96" t="s">
        <v>509</v>
      </c>
      <c r="B19" s="97">
        <f>B18*8</f>
        <v>0</v>
      </c>
      <c r="C19" s="97">
        <f>C18*8</f>
        <v>397216</v>
      </c>
      <c r="D19" s="97">
        <f>B19+C19</f>
        <v>397216</v>
      </c>
    </row>
    <row r="20" spans="1:4" ht="16.5" customHeight="1" x14ac:dyDescent="0.15">
      <c r="A20" s="96" t="s">
        <v>510</v>
      </c>
      <c r="B20" s="97">
        <f>program!AR10</f>
        <v>0</v>
      </c>
      <c r="C20" s="97">
        <f>program!AS10</f>
        <v>82</v>
      </c>
      <c r="D20" s="97">
        <f>B20+C20</f>
        <v>82</v>
      </c>
    </row>
    <row r="21" spans="1:4" ht="16.5" customHeight="1" x14ac:dyDescent="0.15">
      <c r="A21" s="14"/>
      <c r="B21" s="13"/>
      <c r="C21" s="13"/>
      <c r="D21" s="13"/>
    </row>
    <row r="22" spans="1:4" ht="16.5" customHeight="1" x14ac:dyDescent="0.15">
      <c r="A22" s="96" t="s">
        <v>511</v>
      </c>
      <c r="B22" s="99">
        <f>IFERROR(B17/B15,0)</f>
        <v>0</v>
      </c>
      <c r="C22" s="99">
        <f>IFERROR(C17/C15,0)</f>
        <v>0</v>
      </c>
      <c r="D22" s="99">
        <f>IFERROR(D17/D15,0)</f>
        <v>0</v>
      </c>
    </row>
    <row r="23" spans="1:4" ht="16.5" customHeight="1" x14ac:dyDescent="0.15">
      <c r="A23" s="58"/>
      <c r="B23" s="100"/>
      <c r="C23" s="100"/>
      <c r="D23" s="100"/>
    </row>
    <row r="24" spans="1:4" ht="16.5" customHeight="1" x14ac:dyDescent="0.15">
      <c r="A24" s="96" t="s">
        <v>512</v>
      </c>
      <c r="B24" s="99">
        <f>IFERROR(B20/B15,0)</f>
        <v>0</v>
      </c>
      <c r="C24" s="99">
        <f>IFERROR(C20/C15,0)</f>
        <v>0</v>
      </c>
      <c r="D24" s="99">
        <f>IFERROR(D20/D15,0)</f>
        <v>0</v>
      </c>
    </row>
    <row r="25" spans="1:4" ht="16.5" customHeight="1" x14ac:dyDescent="0.15">
      <c r="A25" s="14"/>
      <c r="B25" s="101"/>
      <c r="C25" s="101"/>
      <c r="D25" s="13"/>
    </row>
    <row r="26" spans="1:4" ht="16.5" customHeight="1" x14ac:dyDescent="0.15">
      <c r="A26" s="96" t="s">
        <v>513</v>
      </c>
      <c r="B26" s="102">
        <f>IFERROR(B20*1000/B19,0)</f>
        <v>0</v>
      </c>
      <c r="C26" s="102">
        <f>IFERROR(C20*1000/C19,0)</f>
        <v>0.20643680012889712</v>
      </c>
      <c r="D26" s="102">
        <f>IFERROR(D20*1000/D19,0)</f>
        <v>0.20643680012889712</v>
      </c>
    </row>
    <row r="27" spans="1:4" ht="16.5" customHeight="1" x14ac:dyDescent="0.15">
      <c r="A27" s="58"/>
      <c r="B27" s="103"/>
      <c r="C27" s="103"/>
      <c r="D27" s="104"/>
    </row>
    <row r="28" spans="1:4" ht="16.5" customHeight="1" x14ac:dyDescent="0.15">
      <c r="A28" s="96" t="s">
        <v>514</v>
      </c>
      <c r="B28" s="98">
        <f>IFERROR(B15*1000000/B19,0)</f>
        <v>0</v>
      </c>
      <c r="C28" s="98">
        <f>IFERROR(C15*1000000/C19,0)</f>
        <v>0</v>
      </c>
      <c r="D28" s="98">
        <f>IFERROR(D15*1000000/D19,0)</f>
        <v>0</v>
      </c>
    </row>
    <row r="29" spans="1:4" ht="18" customHeight="1" x14ac:dyDescent="0.15">
      <c r="A29" s="14"/>
      <c r="B29" s="13"/>
      <c r="C29" s="13"/>
      <c r="D29" s="13"/>
    </row>
    <row r="30" spans="1:4" ht="16.5" customHeight="1" x14ac:dyDescent="0.15">
      <c r="A30" s="96" t="s">
        <v>515</v>
      </c>
      <c r="B30" s="105"/>
      <c r="C30" s="105"/>
      <c r="D30" s="105"/>
    </row>
    <row r="31" spans="1:4" ht="16.5" customHeight="1" x14ac:dyDescent="0.15">
      <c r="A31" s="96" t="s">
        <v>516</v>
      </c>
      <c r="B31" s="106">
        <f>IFERROR(B30/B15,0)</f>
        <v>0</v>
      </c>
      <c r="C31" s="106">
        <f>IFERROR(C30/C15,0)</f>
        <v>0</v>
      </c>
      <c r="D31" s="106">
        <f>IFERROR(D30/D15,0)</f>
        <v>0</v>
      </c>
    </row>
    <row r="32" spans="1:4" ht="15" customHeight="1" x14ac:dyDescent="0.15">
      <c r="A32" s="14"/>
      <c r="B32" s="100"/>
      <c r="C32" s="100"/>
      <c r="D32" s="13"/>
    </row>
    <row r="33" spans="1:4" ht="15" customHeight="1" x14ac:dyDescent="0.15">
      <c r="A33" s="14"/>
      <c r="B33" s="13"/>
      <c r="C33" s="13"/>
      <c r="D33" s="13"/>
    </row>
    <row r="34" spans="1:4" ht="15" customHeight="1" x14ac:dyDescent="0.15">
      <c r="A34" s="14"/>
      <c r="B34" s="13"/>
      <c r="C34" s="13"/>
      <c r="D34" s="13"/>
    </row>
    <row r="35" spans="1:4" ht="15" customHeight="1" x14ac:dyDescent="0.15">
      <c r="A35" s="14"/>
      <c r="B35" s="13"/>
      <c r="C35" s="13"/>
      <c r="D35" s="13"/>
    </row>
    <row r="36" spans="1:4" ht="15" customHeight="1" x14ac:dyDescent="0.15">
      <c r="A36" s="14"/>
      <c r="B36" s="14"/>
      <c r="C36" s="13"/>
      <c r="D36" s="13"/>
    </row>
    <row r="37" spans="1:4" ht="15" customHeight="1" x14ac:dyDescent="0.15">
      <c r="A37" s="14"/>
      <c r="B37" s="14"/>
      <c r="C37" s="13"/>
      <c r="D37" s="13"/>
    </row>
    <row r="38" spans="1:4" ht="15" customHeight="1" x14ac:dyDescent="0.15">
      <c r="A38" s="14"/>
      <c r="B38" s="14"/>
      <c r="C38" s="13"/>
      <c r="D38" s="13"/>
    </row>
    <row r="39" spans="1:4" ht="15" customHeight="1" x14ac:dyDescent="0.15">
      <c r="A39" s="14"/>
      <c r="B39" s="13"/>
      <c r="C39" s="13"/>
      <c r="D39" s="13"/>
    </row>
    <row r="40" spans="1:4" ht="15" customHeight="1" x14ac:dyDescent="0.15">
      <c r="A40" s="14"/>
      <c r="B40" s="13"/>
      <c r="C40" s="13"/>
      <c r="D40" s="13"/>
    </row>
    <row r="41" spans="1:4" ht="15" customHeight="1" x14ac:dyDescent="0.15">
      <c r="A41" s="14"/>
      <c r="B41" s="13"/>
      <c r="C41" s="13"/>
      <c r="D41" s="13"/>
    </row>
    <row r="42" spans="1:4" ht="15" customHeight="1" x14ac:dyDescent="0.2">
      <c r="B42" s="107"/>
      <c r="C42" s="107"/>
      <c r="D42" s="107"/>
    </row>
  </sheetData>
  <printOptions horizontalCentered="1"/>
  <pageMargins left="1.1812499999999999" right="0.74791666666666701" top="1.41736111111111" bottom="0.98402777777777795" header="1.1812499999999999" footer="0.511811023622047"/>
  <pageSetup paperSize="9" orientation="portrait" horizontalDpi="300" verticalDpi="300"/>
  <headerFooter>
    <oddHeader>&amp;R&amp;"Arial,Bold"&amp;11 &amp;D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9"/>
  <sheetViews>
    <sheetView zoomScaleNormal="100" workbookViewId="0">
      <pane ySplit="1" topLeftCell="A2" activePane="bottomLeft" state="frozen"/>
      <selection pane="bottomLeft" activeCell="C5" sqref="C5"/>
    </sheetView>
  </sheetViews>
  <sheetFormatPr baseColWidth="10" defaultColWidth="9" defaultRowHeight="13" x14ac:dyDescent="0.15"/>
  <cols>
    <col min="1" max="1" width="57.33203125" style="108" customWidth="1"/>
    <col min="2" max="2" width="40" style="109" customWidth="1"/>
    <col min="3" max="3" width="10" style="110" customWidth="1"/>
    <col min="4" max="4" width="8" style="111" customWidth="1"/>
  </cols>
  <sheetData>
    <row r="1" spans="1:4" ht="12.75" customHeight="1" x14ac:dyDescent="0.15">
      <c r="A1" s="14"/>
      <c r="B1" s="112" t="s">
        <v>517</v>
      </c>
      <c r="C1" s="5" t="s">
        <v>518</v>
      </c>
      <c r="D1" s="5" t="s">
        <v>519</v>
      </c>
    </row>
    <row r="2" spans="1:4" ht="22.5" customHeight="1" x14ac:dyDescent="0.15">
      <c r="A2" s="14"/>
      <c r="B2" s="1" t="s">
        <v>520</v>
      </c>
      <c r="C2" s="55"/>
      <c r="D2" s="55"/>
    </row>
    <row r="3" spans="1:4" ht="12.75" customHeight="1" x14ac:dyDescent="0.15">
      <c r="A3" s="14"/>
      <c r="B3" s="59" t="s">
        <v>521</v>
      </c>
      <c r="C3" s="60">
        <f>program!V3</f>
        <v>0</v>
      </c>
      <c r="D3" s="113">
        <f>IFERROR(C3/C130*100,0)</f>
        <v>0</v>
      </c>
    </row>
    <row r="4" spans="1:4" ht="12.75" customHeight="1" x14ac:dyDescent="0.15">
      <c r="A4" s="14"/>
      <c r="B4" s="59" t="s">
        <v>522</v>
      </c>
      <c r="C4" s="60">
        <f>program!V4</f>
        <v>0</v>
      </c>
      <c r="D4" s="113">
        <f>IFERROR(C4/C130*100,0)</f>
        <v>0</v>
      </c>
    </row>
    <row r="5" spans="1:4" ht="12.75" customHeight="1" x14ac:dyDescent="0.15">
      <c r="A5" s="14"/>
      <c r="B5" s="59" t="s">
        <v>523</v>
      </c>
      <c r="C5" s="60">
        <f>program!V5</f>
        <v>0</v>
      </c>
      <c r="D5" s="113">
        <f>IFERROR(C5/C130*100,0)</f>
        <v>0</v>
      </c>
    </row>
    <row r="6" spans="1:4" ht="12.75" customHeight="1" x14ac:dyDescent="0.15">
      <c r="A6" s="14"/>
      <c r="B6" s="59" t="s">
        <v>524</v>
      </c>
      <c r="C6" s="60">
        <f>program!V6</f>
        <v>0</v>
      </c>
      <c r="D6" s="113">
        <f>IFERROR(C6/C130*100,0)</f>
        <v>0</v>
      </c>
    </row>
    <row r="7" spans="1:4" ht="12.75" customHeight="1" x14ac:dyDescent="0.15">
      <c r="A7" s="14"/>
      <c r="B7" s="59" t="s">
        <v>525</v>
      </c>
      <c r="C7" s="60">
        <f>program!V7</f>
        <v>0</v>
      </c>
      <c r="D7" s="113">
        <f>IFERROR(C7/C130*100,0)</f>
        <v>0</v>
      </c>
    </row>
    <row r="8" spans="1:4" ht="12.75" customHeight="1" x14ac:dyDescent="0.15">
      <c r="A8" s="14"/>
      <c r="B8" s="59" t="s">
        <v>526</v>
      </c>
      <c r="C8" s="60">
        <f>program!V8</f>
        <v>0</v>
      </c>
      <c r="D8" s="113">
        <f>IFERROR(C8/C130*100,0)</f>
        <v>0</v>
      </c>
    </row>
    <row r="9" spans="1:4" ht="12.75" customHeight="1" x14ac:dyDescent="0.15">
      <c r="A9" s="14"/>
      <c r="B9" s="59" t="s">
        <v>527</v>
      </c>
      <c r="C9" s="60">
        <f>program!V9</f>
        <v>0</v>
      </c>
      <c r="D9" s="113">
        <f>IFERROR(C9/C130*100,0)</f>
        <v>0</v>
      </c>
    </row>
    <row r="10" spans="1:4" ht="12.75" customHeight="1" x14ac:dyDescent="0.15">
      <c r="A10" s="14"/>
      <c r="B10" s="59" t="s">
        <v>528</v>
      </c>
      <c r="C10" s="60"/>
      <c r="D10" s="113"/>
    </row>
    <row r="11" spans="1:4" ht="12.75" customHeight="1" x14ac:dyDescent="0.15">
      <c r="A11" s="14"/>
      <c r="B11" s="59" t="s">
        <v>529</v>
      </c>
      <c r="C11" s="60">
        <f>program!V11</f>
        <v>0</v>
      </c>
      <c r="D11" s="113">
        <f>IFERROR(C11/C130*100,0)</f>
        <v>0</v>
      </c>
    </row>
    <row r="12" spans="1:4" ht="12.75" customHeight="1" x14ac:dyDescent="0.15">
      <c r="A12" s="14"/>
      <c r="B12" s="1" t="s">
        <v>530</v>
      </c>
      <c r="C12" s="55">
        <f>program!V12</f>
        <v>1</v>
      </c>
      <c r="D12" s="114">
        <f>IFERROR(C12/C130*100,0)</f>
        <v>11.111111111111111</v>
      </c>
    </row>
    <row r="13" spans="1:4" ht="12.75" customHeight="1" x14ac:dyDescent="0.15">
      <c r="A13" s="14"/>
      <c r="B13" s="59" t="s">
        <v>531</v>
      </c>
      <c r="C13" s="60">
        <f>program!V13</f>
        <v>0</v>
      </c>
      <c r="D13" s="113">
        <f>IFERROR(C13/C130*100,0)</f>
        <v>0</v>
      </c>
    </row>
    <row r="14" spans="1:4" ht="12.75" customHeight="1" x14ac:dyDescent="0.15">
      <c r="A14" s="14"/>
      <c r="B14" s="59" t="s">
        <v>532</v>
      </c>
      <c r="C14" s="60">
        <f>program!V14</f>
        <v>0</v>
      </c>
      <c r="D14" s="113">
        <f>IFERROR(C14/C130*100,0)</f>
        <v>0</v>
      </c>
    </row>
    <row r="15" spans="1:4" ht="12.75" customHeight="1" x14ac:dyDescent="0.15">
      <c r="A15" s="14"/>
      <c r="B15" s="59" t="s">
        <v>533</v>
      </c>
      <c r="C15" s="60">
        <f>program!V15</f>
        <v>0</v>
      </c>
      <c r="D15" s="113">
        <f>IFERROR(C15/C130*100,0)</f>
        <v>0</v>
      </c>
    </row>
    <row r="16" spans="1:4" ht="12.75" customHeight="1" x14ac:dyDescent="0.15">
      <c r="A16" s="14"/>
      <c r="B16" s="59" t="s">
        <v>534</v>
      </c>
      <c r="C16" s="60">
        <f>program!V16</f>
        <v>0</v>
      </c>
      <c r="D16" s="113">
        <f>IFERROR(C16/C130*100,0)</f>
        <v>0</v>
      </c>
    </row>
    <row r="17" spans="1:4" ht="12.75" customHeight="1" x14ac:dyDescent="0.15">
      <c r="A17" s="14"/>
      <c r="B17" s="59" t="s">
        <v>535</v>
      </c>
      <c r="C17" s="60">
        <f>program!V17</f>
        <v>0</v>
      </c>
      <c r="D17" s="113">
        <f>IFERROR(C17/C130*100,0)</f>
        <v>0</v>
      </c>
    </row>
    <row r="18" spans="1:4" ht="12.75" customHeight="1" x14ac:dyDescent="0.15">
      <c r="A18" s="14"/>
      <c r="B18" s="59" t="s">
        <v>536</v>
      </c>
      <c r="C18" s="60"/>
      <c r="D18" s="113"/>
    </row>
    <row r="19" spans="1:4" ht="12.75" customHeight="1" x14ac:dyDescent="0.15">
      <c r="A19" s="14"/>
      <c r="B19" s="59" t="s">
        <v>537</v>
      </c>
      <c r="C19" s="60">
        <f>program!V19</f>
        <v>0</v>
      </c>
      <c r="D19" s="113">
        <f>IFERROR(C19/C130*100,0)</f>
        <v>0</v>
      </c>
    </row>
    <row r="20" spans="1:4" ht="12.75" customHeight="1" x14ac:dyDescent="0.15">
      <c r="A20" s="14"/>
      <c r="B20" s="1" t="s">
        <v>538</v>
      </c>
      <c r="C20" s="55">
        <f>program!V20</f>
        <v>0</v>
      </c>
      <c r="D20" s="114">
        <f>IFERROR(C20/C130*100,0)</f>
        <v>0</v>
      </c>
    </row>
    <row r="21" spans="1:4" ht="12.75" customHeight="1" x14ac:dyDescent="0.15">
      <c r="A21" s="14"/>
      <c r="B21" s="59" t="s">
        <v>539</v>
      </c>
      <c r="C21" s="60">
        <f>program!V21</f>
        <v>0</v>
      </c>
      <c r="D21" s="113">
        <f>IFERROR(C21/C130*100,0)</f>
        <v>0</v>
      </c>
    </row>
    <row r="22" spans="1:4" ht="12.75" customHeight="1" x14ac:dyDescent="0.15">
      <c r="A22" s="14"/>
      <c r="B22" s="59" t="s">
        <v>540</v>
      </c>
      <c r="C22" s="60">
        <f>program!V22</f>
        <v>2</v>
      </c>
      <c r="D22" s="113">
        <f>IFERROR(C22/C130*100,0)</f>
        <v>22.222222222222221</v>
      </c>
    </row>
    <row r="23" spans="1:4" ht="12.75" customHeight="1" x14ac:dyDescent="0.15">
      <c r="A23" s="14"/>
      <c r="B23" s="59" t="s">
        <v>541</v>
      </c>
      <c r="C23" s="60">
        <f>program!V23</f>
        <v>0</v>
      </c>
      <c r="D23" s="113">
        <f>IFERROR(C23/C130*100,0)</f>
        <v>0</v>
      </c>
    </row>
    <row r="24" spans="1:4" ht="12.75" customHeight="1" x14ac:dyDescent="0.15">
      <c r="A24" s="14"/>
      <c r="B24" s="59" t="s">
        <v>542</v>
      </c>
      <c r="C24" s="60">
        <f>program!V24</f>
        <v>0</v>
      </c>
      <c r="D24" s="113">
        <f>IFERROR(C24/C130*100,0)</f>
        <v>0</v>
      </c>
    </row>
    <row r="25" spans="1:4" ht="12.75" customHeight="1" x14ac:dyDescent="0.15">
      <c r="A25" s="14"/>
      <c r="B25" s="59" t="s">
        <v>543</v>
      </c>
      <c r="C25" s="60">
        <f>program!V25</f>
        <v>0</v>
      </c>
      <c r="D25" s="113">
        <f>IFERROR(C25/C130*100,0)</f>
        <v>0</v>
      </c>
    </row>
    <row r="26" spans="1:4" ht="12.75" customHeight="1" x14ac:dyDescent="0.15">
      <c r="A26" s="14"/>
      <c r="B26" s="59" t="s">
        <v>544</v>
      </c>
      <c r="C26" s="60">
        <f>program!V26</f>
        <v>1</v>
      </c>
      <c r="D26" s="113">
        <f>IFERROR(C26/C130*100,0)</f>
        <v>11.111111111111111</v>
      </c>
    </row>
    <row r="27" spans="1:4" ht="12.75" customHeight="1" x14ac:dyDescent="0.15">
      <c r="A27" s="14"/>
      <c r="B27" s="59" t="s">
        <v>545</v>
      </c>
      <c r="C27" s="60"/>
      <c r="D27" s="113"/>
    </row>
    <row r="28" spans="1:4" ht="12.75" customHeight="1" x14ac:dyDescent="0.15">
      <c r="A28" s="14"/>
      <c r="B28" s="59" t="s">
        <v>546</v>
      </c>
      <c r="C28" s="60">
        <f>program!V28</f>
        <v>0</v>
      </c>
      <c r="D28" s="113">
        <f>IFERROR(C28/C130*100,0)</f>
        <v>0</v>
      </c>
    </row>
    <row r="29" spans="1:4" ht="12.75" customHeight="1" x14ac:dyDescent="0.15">
      <c r="A29" s="14"/>
      <c r="B29" s="1" t="s">
        <v>547</v>
      </c>
      <c r="C29" s="55">
        <f>program!V29</f>
        <v>0</v>
      </c>
      <c r="D29" s="114">
        <f>IFERROR(C29/C130*100,0)</f>
        <v>0</v>
      </c>
    </row>
    <row r="30" spans="1:4" ht="12.75" customHeight="1" x14ac:dyDescent="0.15">
      <c r="A30" s="14"/>
      <c r="B30" s="59" t="s">
        <v>548</v>
      </c>
      <c r="C30" s="60">
        <f>program!V30</f>
        <v>0</v>
      </c>
      <c r="D30" s="113">
        <f>IFERROR(C30/C130*100,0)</f>
        <v>0</v>
      </c>
    </row>
    <row r="31" spans="1:4" ht="12.75" customHeight="1" x14ac:dyDescent="0.15">
      <c r="A31" s="14"/>
      <c r="B31" s="59" t="s">
        <v>549</v>
      </c>
      <c r="C31" s="60">
        <f>program!V31</f>
        <v>1</v>
      </c>
      <c r="D31" s="113">
        <f>IFERROR(C31/C130*100,0)</f>
        <v>11.111111111111111</v>
      </c>
    </row>
    <row r="32" spans="1:4" ht="12.75" customHeight="1" x14ac:dyDescent="0.15">
      <c r="A32" s="14"/>
      <c r="B32" s="59" t="s">
        <v>550</v>
      </c>
      <c r="C32" s="60">
        <f>program!V32</f>
        <v>0</v>
      </c>
      <c r="D32" s="113">
        <f>IFERROR(C32/C130*100,0)</f>
        <v>0</v>
      </c>
    </row>
    <row r="33" spans="1:4" ht="12.75" customHeight="1" x14ac:dyDescent="0.15">
      <c r="A33" s="14"/>
      <c r="B33" s="59" t="s">
        <v>551</v>
      </c>
      <c r="C33" s="60">
        <f>program!V33</f>
        <v>1</v>
      </c>
      <c r="D33" s="113">
        <f>IFERROR(C33/C130*100,0)</f>
        <v>11.111111111111111</v>
      </c>
    </row>
    <row r="34" spans="1:4" ht="12.75" customHeight="1" x14ac:dyDescent="0.15">
      <c r="A34" s="49"/>
      <c r="B34" s="59" t="s">
        <v>552</v>
      </c>
      <c r="C34" s="60">
        <f>program!V34</f>
        <v>0</v>
      </c>
      <c r="D34" s="113">
        <f>IFERROR(C34/C130*100,0)</f>
        <v>0</v>
      </c>
    </row>
    <row r="35" spans="1:4" ht="12.75" customHeight="1" x14ac:dyDescent="0.15">
      <c r="A35" s="14"/>
      <c r="B35" s="59" t="s">
        <v>553</v>
      </c>
      <c r="C35" s="60"/>
      <c r="D35" s="113"/>
    </row>
    <row r="36" spans="1:4" ht="12.75" customHeight="1" x14ac:dyDescent="0.15">
      <c r="A36" s="14"/>
      <c r="B36" s="59" t="s">
        <v>554</v>
      </c>
      <c r="C36" s="60">
        <f>program!V36</f>
        <v>0</v>
      </c>
      <c r="D36" s="113">
        <f>IFERROR(C36/C130*100,0)</f>
        <v>0</v>
      </c>
    </row>
    <row r="37" spans="1:4" ht="12.75" customHeight="1" x14ac:dyDescent="0.15">
      <c r="A37" s="14"/>
      <c r="B37" s="1" t="s">
        <v>555</v>
      </c>
      <c r="C37" s="55">
        <f>program!V37</f>
        <v>0</v>
      </c>
      <c r="D37" s="114">
        <f>IFERROR(C37/C130*100,0)</f>
        <v>0</v>
      </c>
    </row>
    <row r="38" spans="1:4" ht="12.75" customHeight="1" x14ac:dyDescent="0.15">
      <c r="A38" s="14"/>
      <c r="B38" s="59" t="s">
        <v>556</v>
      </c>
      <c r="C38" s="60">
        <f>program!V38</f>
        <v>0</v>
      </c>
      <c r="D38" s="113">
        <f>IFERROR(C38/C130*100,0)</f>
        <v>0</v>
      </c>
    </row>
    <row r="39" spans="1:4" ht="12.75" customHeight="1" x14ac:dyDescent="0.15">
      <c r="A39" s="14"/>
      <c r="B39" s="59" t="s">
        <v>557</v>
      </c>
      <c r="C39" s="60">
        <f>program!V39</f>
        <v>0</v>
      </c>
      <c r="D39" s="113">
        <f>IFERROR(C39/C130*100,0)</f>
        <v>0</v>
      </c>
    </row>
    <row r="40" spans="1:4" ht="12.75" customHeight="1" x14ac:dyDescent="0.15">
      <c r="A40" s="14"/>
      <c r="B40" s="59" t="s">
        <v>558</v>
      </c>
      <c r="C40" s="60">
        <f>program!V40</f>
        <v>0</v>
      </c>
      <c r="D40" s="113">
        <f>IFERROR(C40/C130*100,0)</f>
        <v>0</v>
      </c>
    </row>
    <row r="41" spans="1:4" ht="12.75" customHeight="1" x14ac:dyDescent="0.15">
      <c r="A41" s="14"/>
      <c r="B41" s="59" t="s">
        <v>559</v>
      </c>
      <c r="C41" s="60">
        <f>program!V41</f>
        <v>0</v>
      </c>
      <c r="D41" s="113">
        <f>IFERROR(C41/C130*100,0)</f>
        <v>0</v>
      </c>
    </row>
    <row r="42" spans="1:4" ht="12.75" customHeight="1" x14ac:dyDescent="0.15">
      <c r="A42" s="14"/>
      <c r="B42" s="59" t="s">
        <v>560</v>
      </c>
      <c r="C42" s="60">
        <f>program!V42</f>
        <v>0</v>
      </c>
      <c r="D42" s="113">
        <f>IFERROR(C42/C130*100,0)</f>
        <v>0</v>
      </c>
    </row>
    <row r="43" spans="1:4" ht="12.75" customHeight="1" x14ac:dyDescent="0.15">
      <c r="A43" s="14"/>
      <c r="B43" s="59" t="s">
        <v>561</v>
      </c>
      <c r="C43" s="60"/>
      <c r="D43" s="113"/>
    </row>
    <row r="44" spans="1:4" ht="12.75" customHeight="1" x14ac:dyDescent="0.15">
      <c r="A44" s="14"/>
      <c r="B44" s="59" t="s">
        <v>562</v>
      </c>
      <c r="C44" s="60">
        <f>program!V44</f>
        <v>0</v>
      </c>
      <c r="D44" s="113">
        <f>IFERROR(C44/C130*100,0)</f>
        <v>0</v>
      </c>
    </row>
    <row r="45" spans="1:4" ht="12.75" customHeight="1" x14ac:dyDescent="0.15">
      <c r="A45" s="14"/>
      <c r="B45" s="59" t="s">
        <v>563</v>
      </c>
      <c r="C45" s="60">
        <f>program!V45</f>
        <v>0</v>
      </c>
      <c r="D45" s="113">
        <f>IFERROR(C45/C130*100,0)</f>
        <v>0</v>
      </c>
    </row>
    <row r="46" spans="1:4" ht="12.75" customHeight="1" x14ac:dyDescent="0.15">
      <c r="A46" s="14"/>
      <c r="B46" s="59" t="s">
        <v>564</v>
      </c>
      <c r="C46" s="60">
        <f>program!V46</f>
        <v>0</v>
      </c>
      <c r="D46" s="113">
        <f>IFERROR(C46/C130*100,0)</f>
        <v>0</v>
      </c>
    </row>
    <row r="47" spans="1:4" ht="12.75" customHeight="1" x14ac:dyDescent="0.15">
      <c r="A47" s="14"/>
      <c r="B47" s="1" t="s">
        <v>565</v>
      </c>
      <c r="C47" s="55"/>
      <c r="D47" s="114"/>
    </row>
    <row r="48" spans="1:4" ht="12.75" customHeight="1" x14ac:dyDescent="0.15">
      <c r="A48" s="14"/>
      <c r="B48" s="59" t="s">
        <v>566</v>
      </c>
      <c r="C48" s="60">
        <f>program!V48</f>
        <v>0</v>
      </c>
      <c r="D48" s="113">
        <f>IFERROR(C48/C130*100,0)</f>
        <v>0</v>
      </c>
    </row>
    <row r="49" spans="1:4" ht="12.75" customHeight="1" x14ac:dyDescent="0.15">
      <c r="A49" s="14"/>
      <c r="B49" s="59" t="s">
        <v>567</v>
      </c>
      <c r="C49" s="60">
        <f>program!V49</f>
        <v>0</v>
      </c>
      <c r="D49" s="113">
        <f>IFERROR(C49/C130*100,0)</f>
        <v>0</v>
      </c>
    </row>
    <row r="50" spans="1:4" ht="12.75" customHeight="1" x14ac:dyDescent="0.15">
      <c r="A50" s="49"/>
      <c r="B50" s="59" t="s">
        <v>568</v>
      </c>
      <c r="C50" s="60">
        <f>program!V50</f>
        <v>0</v>
      </c>
      <c r="D50" s="113">
        <f>IFERROR(C50/C130*100,0)</f>
        <v>0</v>
      </c>
    </row>
    <row r="51" spans="1:4" ht="12.75" customHeight="1" x14ac:dyDescent="0.15">
      <c r="A51" s="14"/>
      <c r="B51" s="1" t="s">
        <v>569</v>
      </c>
      <c r="C51" s="55">
        <f>program!V51</f>
        <v>0</v>
      </c>
      <c r="D51" s="114">
        <f>IFERROR(C51/C130*100,0)</f>
        <v>0</v>
      </c>
    </row>
    <row r="52" spans="1:4" ht="12.75" customHeight="1" x14ac:dyDescent="0.15">
      <c r="A52" s="14"/>
      <c r="B52" s="59" t="s">
        <v>570</v>
      </c>
      <c r="C52" s="60">
        <f>program!V52</f>
        <v>0</v>
      </c>
      <c r="D52" s="113">
        <f>IFERROR(C52/C130*100,0)</f>
        <v>0</v>
      </c>
    </row>
    <row r="53" spans="1:4" ht="12.75" customHeight="1" x14ac:dyDescent="0.15">
      <c r="A53" s="14"/>
      <c r="B53" s="59" t="s">
        <v>571</v>
      </c>
      <c r="C53" s="60"/>
      <c r="D53" s="113"/>
    </row>
    <row r="54" spans="1:4" ht="12.75" customHeight="1" x14ac:dyDescent="0.15">
      <c r="A54" s="14"/>
      <c r="B54" s="59" t="s">
        <v>572</v>
      </c>
      <c r="C54" s="60">
        <f>program!V54</f>
        <v>0</v>
      </c>
      <c r="D54" s="113">
        <f>IFERROR(C54/C130*100,0)</f>
        <v>0</v>
      </c>
    </row>
    <row r="55" spans="1:4" ht="12.75" customHeight="1" x14ac:dyDescent="0.15">
      <c r="A55" s="14"/>
      <c r="B55" s="59" t="s">
        <v>573</v>
      </c>
      <c r="C55" s="60">
        <f>program!V55</f>
        <v>0</v>
      </c>
      <c r="D55" s="113">
        <f>IFERROR(C55/C130*100,0)</f>
        <v>0</v>
      </c>
    </row>
    <row r="56" spans="1:4" ht="12.75" customHeight="1" x14ac:dyDescent="0.15">
      <c r="A56" s="14"/>
      <c r="B56" s="59" t="s">
        <v>574</v>
      </c>
      <c r="C56" s="60">
        <f>program!V56</f>
        <v>0</v>
      </c>
      <c r="D56" s="113">
        <f>IFERROR(C56/C130*100,0)</f>
        <v>0</v>
      </c>
    </row>
    <row r="57" spans="1:4" ht="12.75" customHeight="1" x14ac:dyDescent="0.15">
      <c r="A57" s="14"/>
      <c r="B57" s="1" t="s">
        <v>575</v>
      </c>
      <c r="C57" s="55">
        <f>program!V57</f>
        <v>0</v>
      </c>
      <c r="D57" s="114">
        <f>IFERROR(C57/C130*100,0)</f>
        <v>0</v>
      </c>
    </row>
    <row r="58" spans="1:4" ht="12.75" customHeight="1" x14ac:dyDescent="0.15">
      <c r="A58" s="14"/>
      <c r="B58" s="59" t="s">
        <v>576</v>
      </c>
      <c r="C58" s="60">
        <f>program!V58</f>
        <v>0</v>
      </c>
      <c r="D58" s="113">
        <f>IFERROR(C58/C130*100,0)</f>
        <v>0</v>
      </c>
    </row>
    <row r="59" spans="1:4" ht="12.75" customHeight="1" x14ac:dyDescent="0.15">
      <c r="A59" s="14"/>
      <c r="B59" s="59" t="s">
        <v>577</v>
      </c>
      <c r="C59" s="60">
        <f>program!V59</f>
        <v>0</v>
      </c>
      <c r="D59" s="113">
        <f>IFERROR(C59/C130*100,0)</f>
        <v>0</v>
      </c>
    </row>
    <row r="60" spans="1:4" ht="12.75" customHeight="1" x14ac:dyDescent="0.15">
      <c r="A60" s="14"/>
      <c r="B60" s="59" t="s">
        <v>578</v>
      </c>
      <c r="C60" s="60">
        <f>program!V60</f>
        <v>0</v>
      </c>
      <c r="D60" s="113">
        <f>IFERROR(C60/C130*100,0)</f>
        <v>0</v>
      </c>
    </row>
    <row r="61" spans="1:4" ht="12.75" customHeight="1" x14ac:dyDescent="0.15">
      <c r="A61" s="14"/>
      <c r="B61" s="59" t="s">
        <v>579</v>
      </c>
      <c r="C61" s="60">
        <f>program!V61</f>
        <v>0</v>
      </c>
      <c r="D61" s="113">
        <f>IFERROR(C61/C130*100,0)</f>
        <v>0</v>
      </c>
    </row>
    <row r="62" spans="1:4" ht="12.75" customHeight="1" x14ac:dyDescent="0.15">
      <c r="A62" s="14"/>
      <c r="B62" s="59" t="s">
        <v>580</v>
      </c>
      <c r="C62" s="60"/>
      <c r="D62" s="113"/>
    </row>
    <row r="63" spans="1:4" ht="12.75" customHeight="1" x14ac:dyDescent="0.15">
      <c r="A63" s="14"/>
      <c r="B63" s="59" t="s">
        <v>581</v>
      </c>
      <c r="C63" s="60">
        <f>program!V63</f>
        <v>0</v>
      </c>
      <c r="D63" s="113">
        <f>IFERROR(C63/C130*100,0)</f>
        <v>0</v>
      </c>
    </row>
    <row r="64" spans="1:4" ht="12.75" customHeight="1" x14ac:dyDescent="0.15">
      <c r="A64" s="14"/>
      <c r="B64" s="59" t="s">
        <v>582</v>
      </c>
      <c r="C64" s="60">
        <f>program!V64</f>
        <v>0</v>
      </c>
      <c r="D64" s="113">
        <f>IFERROR(C64/C130*100,0)</f>
        <v>0</v>
      </c>
    </row>
    <row r="65" spans="1:4" ht="12.75" customHeight="1" x14ac:dyDescent="0.15">
      <c r="A65" s="14"/>
      <c r="B65" s="59" t="s">
        <v>583</v>
      </c>
      <c r="C65" s="60">
        <f>program!V65</f>
        <v>0</v>
      </c>
      <c r="D65" s="113">
        <f>IFERROR(C65/C130*100,0)</f>
        <v>0</v>
      </c>
    </row>
    <row r="66" spans="1:4" ht="12.75" customHeight="1" x14ac:dyDescent="0.15">
      <c r="A66" s="14"/>
      <c r="B66" s="1" t="s">
        <v>584</v>
      </c>
      <c r="C66" s="55">
        <f>program!V66</f>
        <v>0</v>
      </c>
      <c r="D66" s="114">
        <f>IFERROR(C66/C130*100,0)</f>
        <v>0</v>
      </c>
    </row>
    <row r="67" spans="1:4" ht="12.75" customHeight="1" x14ac:dyDescent="0.15">
      <c r="A67" s="14"/>
      <c r="B67" s="59" t="s">
        <v>585</v>
      </c>
      <c r="C67" s="60"/>
      <c r="D67" s="113"/>
    </row>
    <row r="68" spans="1:4" ht="12.75" customHeight="1" x14ac:dyDescent="0.15">
      <c r="A68" s="14"/>
      <c r="B68" s="59" t="s">
        <v>586</v>
      </c>
      <c r="C68" s="60">
        <f>program!V68</f>
        <v>0</v>
      </c>
      <c r="D68" s="113">
        <f>IFERROR(C68/C130*100,0)</f>
        <v>0</v>
      </c>
    </row>
    <row r="69" spans="1:4" ht="12.75" customHeight="1" x14ac:dyDescent="0.15">
      <c r="A69" s="14"/>
      <c r="B69" s="59" t="s">
        <v>587</v>
      </c>
      <c r="C69" s="60">
        <f>program!V69</f>
        <v>0</v>
      </c>
      <c r="D69" s="113">
        <f>IFERROR(C69/C130*100,0)</f>
        <v>0</v>
      </c>
    </row>
    <row r="70" spans="1:4" ht="12.75" customHeight="1" x14ac:dyDescent="0.15">
      <c r="A70" s="14"/>
      <c r="B70" s="59" t="s">
        <v>588</v>
      </c>
      <c r="C70" s="60">
        <f>program!V70</f>
        <v>0</v>
      </c>
      <c r="D70" s="113">
        <f>IFERROR(C70/C130*100,0)</f>
        <v>0</v>
      </c>
    </row>
    <row r="71" spans="1:4" ht="12.75" customHeight="1" x14ac:dyDescent="0.15">
      <c r="A71" s="14"/>
      <c r="B71" s="1" t="s">
        <v>589</v>
      </c>
      <c r="C71" s="55">
        <f>program!V71</f>
        <v>0</v>
      </c>
      <c r="D71" s="114">
        <f>IFERROR(C71/C130*100,0)</f>
        <v>0</v>
      </c>
    </row>
    <row r="72" spans="1:4" ht="12.75" customHeight="1" x14ac:dyDescent="0.15">
      <c r="A72" s="14"/>
      <c r="B72" s="59" t="s">
        <v>590</v>
      </c>
      <c r="C72" s="60">
        <f>program!V72</f>
        <v>0</v>
      </c>
      <c r="D72" s="113">
        <f>IFERROR(C72/C130*100,0)</f>
        <v>0</v>
      </c>
    </row>
    <row r="73" spans="1:4" ht="12.75" customHeight="1" x14ac:dyDescent="0.15">
      <c r="A73" s="14"/>
      <c r="B73" s="59" t="s">
        <v>591</v>
      </c>
      <c r="C73" s="60"/>
      <c r="D73" s="113"/>
    </row>
    <row r="74" spans="1:4" ht="12.75" customHeight="1" x14ac:dyDescent="0.15">
      <c r="A74" s="14"/>
      <c r="B74" s="59" t="s">
        <v>592</v>
      </c>
      <c r="C74" s="60">
        <f>program!V74</f>
        <v>0</v>
      </c>
      <c r="D74" s="113">
        <f>IFERROR(C74/C130*100,0)</f>
        <v>0</v>
      </c>
    </row>
    <row r="75" spans="1:4" ht="12.75" customHeight="1" x14ac:dyDescent="0.15">
      <c r="A75" s="14"/>
      <c r="B75" s="59" t="s">
        <v>593</v>
      </c>
      <c r="C75" s="60">
        <f>program!V75</f>
        <v>0</v>
      </c>
      <c r="D75" s="113">
        <f>IFERROR(C75/C130*100,0)</f>
        <v>0</v>
      </c>
    </row>
    <row r="76" spans="1:4" ht="12.75" customHeight="1" x14ac:dyDescent="0.15">
      <c r="A76" s="14"/>
      <c r="B76" s="59" t="s">
        <v>594</v>
      </c>
      <c r="C76" s="60">
        <f>program!V76</f>
        <v>2</v>
      </c>
      <c r="D76" s="113">
        <f>IFERROR(C76/C130*100,0)</f>
        <v>22.222222222222221</v>
      </c>
    </row>
    <row r="77" spans="1:4" ht="12.75" customHeight="1" x14ac:dyDescent="0.15">
      <c r="A77" s="14"/>
      <c r="B77" s="1" t="s">
        <v>595</v>
      </c>
      <c r="C77" s="55">
        <f>program!V77</f>
        <v>0</v>
      </c>
      <c r="D77" s="114">
        <f>IFERROR(C77/C130*100,0)</f>
        <v>0</v>
      </c>
    </row>
    <row r="78" spans="1:4" ht="12.75" customHeight="1" x14ac:dyDescent="0.15">
      <c r="A78" s="14"/>
      <c r="B78" s="59" t="s">
        <v>596</v>
      </c>
      <c r="C78" s="60">
        <f>program!V78</f>
        <v>0</v>
      </c>
      <c r="D78" s="113">
        <f>IFERROR(C78/C130*100,0)</f>
        <v>0</v>
      </c>
    </row>
    <row r="79" spans="1:4" ht="12.75" customHeight="1" x14ac:dyDescent="0.15">
      <c r="A79" s="14"/>
      <c r="B79" s="59" t="s">
        <v>597</v>
      </c>
      <c r="C79" s="60">
        <f>program!V79</f>
        <v>0</v>
      </c>
      <c r="D79" s="113">
        <f>IFERROR(C79/C130*100,0)</f>
        <v>0</v>
      </c>
    </row>
    <row r="80" spans="1:4" ht="12.75" customHeight="1" x14ac:dyDescent="0.15">
      <c r="A80" s="14"/>
      <c r="B80" s="59" t="s">
        <v>598</v>
      </c>
      <c r="C80" s="60"/>
      <c r="D80" s="113"/>
    </row>
    <row r="81" spans="1:4" ht="12.75" customHeight="1" x14ac:dyDescent="0.15">
      <c r="A81" s="14"/>
      <c r="B81" s="59" t="s">
        <v>599</v>
      </c>
      <c r="C81" s="60">
        <f>program!V81</f>
        <v>0</v>
      </c>
      <c r="D81" s="113">
        <f>IFERROR(C81/C130*100,0)</f>
        <v>0</v>
      </c>
    </row>
    <row r="82" spans="1:4" ht="12.75" customHeight="1" x14ac:dyDescent="0.15">
      <c r="A82" s="14"/>
      <c r="B82" s="1" t="s">
        <v>600</v>
      </c>
      <c r="C82" s="55">
        <f>program!V82</f>
        <v>0</v>
      </c>
      <c r="D82" s="114">
        <f>IFERROR(C82/C130*100,0)</f>
        <v>0</v>
      </c>
    </row>
    <row r="83" spans="1:4" ht="12.75" customHeight="1" x14ac:dyDescent="0.15">
      <c r="A83" s="14"/>
      <c r="B83" s="59" t="s">
        <v>601</v>
      </c>
      <c r="C83" s="60">
        <f>program!V83</f>
        <v>0</v>
      </c>
      <c r="D83" s="113">
        <f>IFERROR(C83/C130*100,0)</f>
        <v>0</v>
      </c>
    </row>
    <row r="84" spans="1:4" ht="12.75" customHeight="1" x14ac:dyDescent="0.15">
      <c r="A84" s="14"/>
      <c r="B84" s="59" t="s">
        <v>602</v>
      </c>
      <c r="C84" s="60">
        <f>program!V84</f>
        <v>0</v>
      </c>
      <c r="D84" s="113">
        <f>IFERROR(C84/C130*100,0)</f>
        <v>0</v>
      </c>
    </row>
    <row r="85" spans="1:4" ht="12.75" customHeight="1" x14ac:dyDescent="0.15">
      <c r="A85" s="14"/>
      <c r="B85" s="59" t="s">
        <v>603</v>
      </c>
      <c r="C85" s="60"/>
      <c r="D85" s="113"/>
    </row>
    <row r="86" spans="1:4" ht="12.75" customHeight="1" x14ac:dyDescent="0.15">
      <c r="A86" s="14"/>
      <c r="B86" s="59" t="s">
        <v>604</v>
      </c>
      <c r="C86" s="60">
        <f>program!V86</f>
        <v>0</v>
      </c>
      <c r="D86" s="113">
        <f>IFERROR(C86/C130*100,0)</f>
        <v>0</v>
      </c>
    </row>
    <row r="87" spans="1:4" ht="12.75" customHeight="1" x14ac:dyDescent="0.15">
      <c r="A87" s="14"/>
      <c r="B87" s="1" t="s">
        <v>605</v>
      </c>
      <c r="C87" s="55">
        <f>program!V87</f>
        <v>0</v>
      </c>
      <c r="D87" s="114">
        <f>IFERROR(C87/C130*100,0)</f>
        <v>0</v>
      </c>
    </row>
    <row r="88" spans="1:4" ht="12.75" customHeight="1" x14ac:dyDescent="0.15">
      <c r="A88" s="14"/>
      <c r="B88" s="59" t="s">
        <v>606</v>
      </c>
      <c r="C88" s="60">
        <f>program!V88</f>
        <v>0</v>
      </c>
      <c r="D88" s="113">
        <f>IFERROR(C88/C130*100,0)</f>
        <v>0</v>
      </c>
    </row>
    <row r="89" spans="1:4" ht="12.75" customHeight="1" x14ac:dyDescent="0.15">
      <c r="A89" s="14"/>
      <c r="B89" s="59" t="s">
        <v>607</v>
      </c>
      <c r="C89" s="60">
        <f>program!V89</f>
        <v>0</v>
      </c>
      <c r="D89" s="113">
        <f>IFERROR(C89/C130*100,0)</f>
        <v>0</v>
      </c>
    </row>
    <row r="90" spans="1:4" ht="12.75" customHeight="1" x14ac:dyDescent="0.15">
      <c r="A90" s="14"/>
      <c r="B90" s="59" t="s">
        <v>608</v>
      </c>
      <c r="C90" s="60">
        <f>program!V90</f>
        <v>0</v>
      </c>
      <c r="D90" s="113">
        <f>IFERROR(C90/C130*100,0)</f>
        <v>0</v>
      </c>
    </row>
    <row r="91" spans="1:4" ht="12.75" customHeight="1" x14ac:dyDescent="0.15">
      <c r="A91" s="14"/>
      <c r="B91" s="59" t="s">
        <v>609</v>
      </c>
      <c r="C91" s="60"/>
      <c r="D91" s="113"/>
    </row>
    <row r="92" spans="1:4" ht="12.75" customHeight="1" x14ac:dyDescent="0.15">
      <c r="A92" s="14"/>
      <c r="B92" s="59" t="s">
        <v>610</v>
      </c>
      <c r="C92" s="60">
        <f>program!V92</f>
        <v>0</v>
      </c>
      <c r="D92" s="113">
        <f>IFERROR(C92/C130*100,0)</f>
        <v>0</v>
      </c>
    </row>
    <row r="93" spans="1:4" ht="12.75" customHeight="1" x14ac:dyDescent="0.15">
      <c r="A93" s="14"/>
      <c r="B93" s="1" t="s">
        <v>611</v>
      </c>
      <c r="C93" s="55">
        <f>program!V93</f>
        <v>0</v>
      </c>
      <c r="D93" s="114">
        <f>IFERROR(C93/C130*100,0)</f>
        <v>0</v>
      </c>
    </row>
    <row r="94" spans="1:4" ht="12.75" customHeight="1" x14ac:dyDescent="0.15">
      <c r="A94" s="14"/>
      <c r="B94" s="59" t="s">
        <v>612</v>
      </c>
      <c r="C94" s="60">
        <f>program!V94</f>
        <v>0</v>
      </c>
      <c r="D94" s="113">
        <f>IFERROR(C94/C130*100,0)</f>
        <v>0</v>
      </c>
    </row>
    <row r="95" spans="1:4" ht="12.75" customHeight="1" x14ac:dyDescent="0.15">
      <c r="A95" s="14"/>
      <c r="B95" s="59" t="s">
        <v>613</v>
      </c>
      <c r="C95" s="60">
        <f>program!V95</f>
        <v>0</v>
      </c>
      <c r="D95" s="113">
        <f>IFERROR(C95/C130*100,0)</f>
        <v>0</v>
      </c>
    </row>
    <row r="96" spans="1:4" ht="12.75" customHeight="1" x14ac:dyDescent="0.15">
      <c r="A96" s="14"/>
      <c r="B96" s="59" t="s">
        <v>614</v>
      </c>
      <c r="C96" s="60"/>
      <c r="D96" s="113"/>
    </row>
    <row r="97" spans="1:4" ht="12.75" customHeight="1" x14ac:dyDescent="0.15">
      <c r="A97" s="14"/>
      <c r="B97" s="59" t="s">
        <v>615</v>
      </c>
      <c r="C97" s="60">
        <f>program!V97</f>
        <v>0</v>
      </c>
      <c r="D97" s="113">
        <f>IFERROR(C97/C130*100,0)</f>
        <v>0</v>
      </c>
    </row>
    <row r="98" spans="1:4" ht="12.75" customHeight="1" x14ac:dyDescent="0.15">
      <c r="A98" s="14"/>
      <c r="B98" s="59" t="s">
        <v>616</v>
      </c>
      <c r="C98" s="60">
        <f>program!V98</f>
        <v>0</v>
      </c>
      <c r="D98" s="113">
        <f>IFERROR(C98/C130*100,0)</f>
        <v>0</v>
      </c>
    </row>
    <row r="99" spans="1:4" ht="12.75" customHeight="1" x14ac:dyDescent="0.15">
      <c r="A99" s="14"/>
      <c r="B99" s="1" t="s">
        <v>617</v>
      </c>
      <c r="C99" s="55">
        <f>program!V99</f>
        <v>0</v>
      </c>
      <c r="D99" s="114">
        <f>IFERROR(C99/C130*100,0)</f>
        <v>0</v>
      </c>
    </row>
    <row r="100" spans="1:4" ht="12.75" customHeight="1" x14ac:dyDescent="0.15">
      <c r="A100" s="14"/>
      <c r="B100" s="59" t="s">
        <v>618</v>
      </c>
      <c r="C100" s="60">
        <f>program!V100</f>
        <v>0</v>
      </c>
      <c r="D100" s="113">
        <f>IFERROR(C100/C130*100,0)</f>
        <v>0</v>
      </c>
    </row>
    <row r="101" spans="1:4" ht="12.75" customHeight="1" x14ac:dyDescent="0.15">
      <c r="A101" s="14"/>
      <c r="B101" s="59" t="s">
        <v>619</v>
      </c>
      <c r="C101" s="60"/>
      <c r="D101" s="113"/>
    </row>
    <row r="102" spans="1:4" ht="12.75" customHeight="1" x14ac:dyDescent="0.15">
      <c r="A102" s="14"/>
      <c r="B102" s="59" t="s">
        <v>620</v>
      </c>
      <c r="C102" s="60">
        <f>program!V102</f>
        <v>0</v>
      </c>
      <c r="D102" s="113">
        <f>IFERROR(C102/C130*100,0)</f>
        <v>0</v>
      </c>
    </row>
    <row r="103" spans="1:4" ht="12.75" customHeight="1" x14ac:dyDescent="0.15">
      <c r="A103" s="14"/>
      <c r="B103" s="59" t="s">
        <v>621</v>
      </c>
      <c r="C103" s="60">
        <f>program!V103</f>
        <v>0</v>
      </c>
      <c r="D103" s="113">
        <f>IFERROR(C103/C130*100,0)</f>
        <v>0</v>
      </c>
    </row>
    <row r="104" spans="1:4" ht="12.75" customHeight="1" x14ac:dyDescent="0.15">
      <c r="A104" s="14"/>
      <c r="B104" s="1" t="s">
        <v>622</v>
      </c>
      <c r="C104" s="55">
        <f>program!V104</f>
        <v>0</v>
      </c>
      <c r="D104" s="114">
        <f>IFERROR(C104/C130*100,0)</f>
        <v>0</v>
      </c>
    </row>
    <row r="105" spans="1:4" ht="12.75" customHeight="1" x14ac:dyDescent="0.15">
      <c r="A105" s="14"/>
      <c r="B105" s="59" t="s">
        <v>623</v>
      </c>
      <c r="C105" s="60">
        <f>program!V105</f>
        <v>0</v>
      </c>
      <c r="D105" s="113">
        <f>IFERROR(C105/C130*100,0)</f>
        <v>0</v>
      </c>
    </row>
    <row r="106" spans="1:4" ht="12.75" customHeight="1" x14ac:dyDescent="0.15">
      <c r="A106" s="14"/>
      <c r="B106" s="59" t="s">
        <v>624</v>
      </c>
      <c r="C106" s="60"/>
      <c r="D106" s="113"/>
    </row>
    <row r="107" spans="1:4" ht="12.75" customHeight="1" x14ac:dyDescent="0.15">
      <c r="A107" s="14"/>
      <c r="B107" s="59" t="s">
        <v>625</v>
      </c>
      <c r="C107" s="60">
        <f>program!V107</f>
        <v>0</v>
      </c>
      <c r="D107" s="113">
        <f>IFERROR(C107/C130*100,0)</f>
        <v>0</v>
      </c>
    </row>
    <row r="108" spans="1:4" ht="12.75" customHeight="1" x14ac:dyDescent="0.15">
      <c r="A108" s="14"/>
      <c r="B108" s="59" t="s">
        <v>626</v>
      </c>
      <c r="C108" s="60">
        <f>program!V108</f>
        <v>0</v>
      </c>
      <c r="D108" s="113">
        <f>IFERROR(C108/C130*100,0)</f>
        <v>0</v>
      </c>
    </row>
    <row r="109" spans="1:4" ht="12.75" customHeight="1" x14ac:dyDescent="0.15">
      <c r="A109" s="14"/>
      <c r="B109" s="1" t="s">
        <v>627</v>
      </c>
      <c r="C109" s="55">
        <f>program!V109</f>
        <v>0</v>
      </c>
      <c r="D109" s="114">
        <f>IFERROR(C109/C130*100,0)</f>
        <v>0</v>
      </c>
    </row>
    <row r="110" spans="1:4" ht="12.75" customHeight="1" x14ac:dyDescent="0.15">
      <c r="A110" s="14"/>
      <c r="B110" s="59" t="s">
        <v>628</v>
      </c>
      <c r="C110" s="60">
        <f>program!V110</f>
        <v>0</v>
      </c>
      <c r="D110" s="113">
        <f>IFERROR(C110/C130*100,0)</f>
        <v>0</v>
      </c>
    </row>
    <row r="111" spans="1:4" ht="12.75" customHeight="1" x14ac:dyDescent="0.15">
      <c r="A111" s="14"/>
      <c r="B111" s="59" t="s">
        <v>629</v>
      </c>
      <c r="C111" s="60">
        <f>program!V111</f>
        <v>0</v>
      </c>
      <c r="D111" s="113">
        <f>IFERROR(C111/C130*100,0)</f>
        <v>0</v>
      </c>
    </row>
    <row r="112" spans="1:4" ht="12.75" customHeight="1" x14ac:dyDescent="0.15">
      <c r="A112" s="14"/>
      <c r="B112" s="59" t="s">
        <v>630</v>
      </c>
      <c r="C112" s="60">
        <f>program!V112</f>
        <v>0</v>
      </c>
      <c r="D112" s="113">
        <f>IFERROR(C112/C130*100,0)</f>
        <v>0</v>
      </c>
    </row>
    <row r="113" spans="1:4" ht="12.75" customHeight="1" x14ac:dyDescent="0.15">
      <c r="A113" s="115"/>
      <c r="B113" s="59" t="s">
        <v>631</v>
      </c>
      <c r="C113" s="60">
        <f>program!V113</f>
        <v>0</v>
      </c>
      <c r="D113" s="113">
        <f>IFERROR(C113/C130*100,0)</f>
        <v>0</v>
      </c>
    </row>
    <row r="114" spans="1:4" ht="12.75" customHeight="1" x14ac:dyDescent="0.15">
      <c r="A114" s="14"/>
      <c r="B114" s="59" t="s">
        <v>632</v>
      </c>
      <c r="C114" s="60">
        <f>program!V114</f>
        <v>0</v>
      </c>
      <c r="D114" s="113">
        <f>IFERROR(C114/C130*100,0)</f>
        <v>0</v>
      </c>
    </row>
    <row r="115" spans="1:4" ht="12.75" customHeight="1" x14ac:dyDescent="0.15">
      <c r="A115" s="14"/>
      <c r="B115" s="59" t="s">
        <v>633</v>
      </c>
      <c r="C115" s="60">
        <f>program!V115</f>
        <v>0</v>
      </c>
      <c r="D115" s="113">
        <f>IFERROR(C115/C130*100,0)</f>
        <v>0</v>
      </c>
    </row>
    <row r="116" spans="1:4" ht="12.75" customHeight="1" x14ac:dyDescent="0.15">
      <c r="A116" s="115"/>
      <c r="B116" s="59" t="s">
        <v>634</v>
      </c>
      <c r="C116" s="60"/>
      <c r="D116" s="113"/>
    </row>
    <row r="117" spans="1:4" ht="12.75" customHeight="1" x14ac:dyDescent="0.15">
      <c r="A117" s="14"/>
      <c r="B117" s="59" t="s">
        <v>635</v>
      </c>
      <c r="C117" s="60">
        <f>program!V117</f>
        <v>0</v>
      </c>
      <c r="D117" s="113">
        <f>IFERROR(C117/C130*100,0)</f>
        <v>0</v>
      </c>
    </row>
    <row r="118" spans="1:4" ht="12.75" customHeight="1" x14ac:dyDescent="0.15">
      <c r="A118" s="14"/>
      <c r="B118" s="59" t="s">
        <v>636</v>
      </c>
      <c r="C118" s="60">
        <f>program!V118</f>
        <v>0</v>
      </c>
      <c r="D118" s="113">
        <f>IFERROR(C118/C130*100,0)</f>
        <v>0</v>
      </c>
    </row>
    <row r="119" spans="1:4" ht="12.75" customHeight="1" x14ac:dyDescent="0.15">
      <c r="A119" s="14"/>
      <c r="B119" s="1" t="s">
        <v>637</v>
      </c>
      <c r="C119" s="55">
        <f>program!V119</f>
        <v>0</v>
      </c>
      <c r="D119" s="55">
        <f>IFERROR(C119/C130*100,0)</f>
        <v>0</v>
      </c>
    </row>
    <row r="120" spans="1:4" ht="12.75" customHeight="1" x14ac:dyDescent="0.15">
      <c r="A120" s="14"/>
      <c r="B120" s="59" t="s">
        <v>638</v>
      </c>
      <c r="C120" s="60">
        <f>program!V120</f>
        <v>0</v>
      </c>
      <c r="D120" s="113">
        <f>IFERROR(C120/C130*100,0)</f>
        <v>0</v>
      </c>
    </row>
    <row r="121" spans="1:4" ht="12.75" customHeight="1" x14ac:dyDescent="0.15">
      <c r="A121" s="14"/>
      <c r="B121" s="59" t="s">
        <v>639</v>
      </c>
      <c r="C121" s="60"/>
      <c r="D121" s="113"/>
    </row>
    <row r="122" spans="1:4" ht="12.75" customHeight="1" x14ac:dyDescent="0.15">
      <c r="A122" s="14"/>
      <c r="B122" s="59" t="s">
        <v>640</v>
      </c>
      <c r="C122" s="60">
        <f>program!V122</f>
        <v>0</v>
      </c>
      <c r="D122" s="113">
        <f>IFERROR(C122/C130*100,0)</f>
        <v>0</v>
      </c>
    </row>
    <row r="123" spans="1:4" ht="12.75" customHeight="1" x14ac:dyDescent="0.15">
      <c r="A123" s="14"/>
      <c r="B123" s="59" t="s">
        <v>641</v>
      </c>
      <c r="C123" s="60">
        <f>program!V123</f>
        <v>0</v>
      </c>
      <c r="D123" s="113">
        <f>IFERROR(C123/C130*100,0)</f>
        <v>0</v>
      </c>
    </row>
    <row r="124" spans="1:4" ht="12.75" customHeight="1" x14ac:dyDescent="0.15">
      <c r="A124" s="14"/>
      <c r="B124" s="1" t="s">
        <v>642</v>
      </c>
      <c r="C124" s="55">
        <f>program!V124</f>
        <v>0</v>
      </c>
      <c r="D124" s="55">
        <f>IFERROR(C124/C130*100,0)</f>
        <v>0</v>
      </c>
    </row>
    <row r="125" spans="1:4" ht="12.75" customHeight="1" x14ac:dyDescent="0.15">
      <c r="A125" s="14"/>
      <c r="B125" s="59" t="s">
        <v>643</v>
      </c>
      <c r="C125" s="60">
        <f>program!V125</f>
        <v>0</v>
      </c>
      <c r="D125" s="113">
        <f>IFERROR(C125/C130*100,0)</f>
        <v>0</v>
      </c>
    </row>
    <row r="126" spans="1:4" ht="12.75" customHeight="1" x14ac:dyDescent="0.15">
      <c r="A126" s="14"/>
      <c r="B126" s="59" t="s">
        <v>644</v>
      </c>
      <c r="C126" s="60">
        <f>program!V126</f>
        <v>0</v>
      </c>
      <c r="D126" s="113">
        <f>IFERROR(C126/C130*100,0)</f>
        <v>0</v>
      </c>
    </row>
    <row r="127" spans="1:4" ht="12.75" customHeight="1" x14ac:dyDescent="0.15">
      <c r="A127" s="14"/>
      <c r="B127" s="59" t="s">
        <v>645</v>
      </c>
      <c r="C127" s="60">
        <f>program!V127</f>
        <v>0</v>
      </c>
      <c r="D127" s="113">
        <f>IFERROR(C127/C130*100,0)</f>
        <v>0</v>
      </c>
    </row>
    <row r="128" spans="1:4" ht="12.75" customHeight="1" x14ac:dyDescent="0.15">
      <c r="A128" s="14"/>
      <c r="B128" s="59" t="s">
        <v>646</v>
      </c>
      <c r="C128" s="60">
        <f>program!V128</f>
        <v>0</v>
      </c>
      <c r="D128" s="113">
        <f>IFERROR(C128/C130*100,0)</f>
        <v>0</v>
      </c>
    </row>
    <row r="129" spans="1:4" ht="12.75" customHeight="1" x14ac:dyDescent="0.15">
      <c r="A129" s="14"/>
      <c r="B129" s="1" t="s">
        <v>647</v>
      </c>
      <c r="C129" s="55">
        <f>program!V129</f>
        <v>1</v>
      </c>
      <c r="D129" s="55">
        <f>IFERROR(C129/C130*100,0)</f>
        <v>11.111111111111111</v>
      </c>
    </row>
    <row r="130" spans="1:4" ht="12.75" customHeight="1" x14ac:dyDescent="0.15">
      <c r="A130" s="14"/>
      <c r="B130" s="59" t="s">
        <v>113</v>
      </c>
      <c r="C130" s="60">
        <f>program!V130</f>
        <v>9</v>
      </c>
      <c r="D130" s="113">
        <f>IFERROR(C130/C130*100,0)</f>
        <v>100</v>
      </c>
    </row>
    <row r="131" spans="1:4" ht="12.75" customHeight="1" x14ac:dyDescent="0.15">
      <c r="A131" s="14"/>
      <c r="B131" s="59"/>
      <c r="C131" s="60"/>
      <c r="D131" s="113"/>
    </row>
    <row r="132" spans="1:4" ht="12.75" customHeight="1" x14ac:dyDescent="0.15">
      <c r="A132" s="14"/>
      <c r="B132" s="59"/>
      <c r="C132" s="60"/>
      <c r="D132" s="113"/>
    </row>
    <row r="133" spans="1:4" ht="12.75" customHeight="1" x14ac:dyDescent="0.15">
      <c r="A133" s="14"/>
      <c r="B133" s="59"/>
      <c r="C133" s="60"/>
      <c r="D133" s="113"/>
    </row>
    <row r="134" spans="1:4" ht="12.75" customHeight="1" x14ac:dyDescent="0.15">
      <c r="A134" s="14"/>
      <c r="B134" s="59"/>
      <c r="C134" s="60"/>
      <c r="D134" s="113"/>
    </row>
    <row r="135" spans="1:4" ht="12.75" customHeight="1" x14ac:dyDescent="0.15">
      <c r="A135" s="14"/>
      <c r="B135" s="59"/>
      <c r="C135" s="60"/>
      <c r="D135" s="113"/>
    </row>
    <row r="136" spans="1:4" ht="12.75" customHeight="1" x14ac:dyDescent="0.15">
      <c r="A136" s="14"/>
      <c r="B136" s="59"/>
      <c r="C136" s="60"/>
      <c r="D136" s="113"/>
    </row>
    <row r="137" spans="1:4" ht="15" customHeight="1" x14ac:dyDescent="0.15">
      <c r="A137" s="14"/>
      <c r="B137" s="68"/>
      <c r="C137" s="69"/>
      <c r="D137" s="69"/>
    </row>
    <row r="138" spans="1:4" ht="12.75" customHeight="1" x14ac:dyDescent="0.15">
      <c r="A138" s="14"/>
      <c r="B138" s="14"/>
      <c r="C138" s="14"/>
      <c r="D138" s="14"/>
    </row>
    <row r="139" spans="1:4" ht="12.75" customHeight="1" x14ac:dyDescent="0.15">
      <c r="A139" s="14"/>
      <c r="B139" s="14"/>
      <c r="C139" s="14"/>
      <c r="D139" s="14"/>
    </row>
    <row r="140" spans="1:4" ht="12.75" customHeight="1" x14ac:dyDescent="0.15">
      <c r="A140" s="14"/>
      <c r="B140" s="14"/>
      <c r="C140" s="14"/>
      <c r="D140" s="14"/>
    </row>
    <row r="141" spans="1:4" ht="12.75" customHeight="1" x14ac:dyDescent="0.15">
      <c r="A141" s="14"/>
      <c r="B141" s="14"/>
      <c r="C141" s="14"/>
      <c r="D141" s="14"/>
    </row>
    <row r="142" spans="1:4" ht="12.75" customHeight="1" x14ac:dyDescent="0.15">
      <c r="A142" s="14"/>
      <c r="B142" s="14"/>
      <c r="C142" s="14"/>
      <c r="D142" s="14"/>
    </row>
    <row r="143" spans="1:4" ht="12.75" customHeight="1" x14ac:dyDescent="0.15">
      <c r="A143" s="14"/>
      <c r="B143" s="14"/>
      <c r="C143" s="14"/>
      <c r="D143" s="14"/>
    </row>
    <row r="144" spans="1:4" ht="12.75" customHeight="1" x14ac:dyDescent="0.15">
      <c r="A144" s="14"/>
      <c r="B144" s="14"/>
      <c r="C144" s="14"/>
      <c r="D144" s="14"/>
    </row>
    <row r="145" spans="1:4" ht="12.75" customHeight="1" x14ac:dyDescent="0.15">
      <c r="A145" s="14"/>
      <c r="B145" s="14"/>
      <c r="C145" s="14"/>
      <c r="D145" s="14"/>
    </row>
    <row r="146" spans="1:4" ht="12.75" customHeight="1" x14ac:dyDescent="0.15">
      <c r="A146" s="14"/>
      <c r="B146" s="14"/>
      <c r="C146" s="14"/>
      <c r="D146" s="14"/>
    </row>
    <row r="147" spans="1:4" ht="12.75" customHeight="1" x14ac:dyDescent="0.15">
      <c r="A147" s="14"/>
      <c r="B147" s="14"/>
      <c r="C147" s="14"/>
      <c r="D147" s="14"/>
    </row>
    <row r="148" spans="1:4" ht="12.75" customHeight="1" x14ac:dyDescent="0.15">
      <c r="A148" s="14"/>
      <c r="B148" s="14"/>
      <c r="C148" s="14"/>
      <c r="D148" s="14"/>
    </row>
    <row r="149" spans="1:4" ht="12.75" customHeight="1" x14ac:dyDescent="0.15">
      <c r="A149" s="14"/>
      <c r="B149" s="14"/>
      <c r="C149" s="14"/>
      <c r="D149" s="14"/>
    </row>
    <row r="150" spans="1:4" ht="12.75" customHeight="1" x14ac:dyDescent="0.15">
      <c r="A150" s="14"/>
      <c r="B150" s="14"/>
      <c r="C150" s="14"/>
      <c r="D150" s="14"/>
    </row>
    <row r="151" spans="1:4" ht="12.75" customHeight="1" x14ac:dyDescent="0.15">
      <c r="A151" s="14"/>
      <c r="B151" s="14"/>
      <c r="C151" s="14"/>
      <c r="D151" s="14"/>
    </row>
    <row r="152" spans="1:4" ht="12.75" customHeight="1" x14ac:dyDescent="0.15">
      <c r="A152" s="14"/>
      <c r="B152" s="14"/>
      <c r="C152" s="14"/>
      <c r="D152" s="14"/>
    </row>
    <row r="153" spans="1:4" ht="12.75" customHeight="1" x14ac:dyDescent="0.15">
      <c r="A153" s="14"/>
      <c r="B153" s="14"/>
      <c r="C153" s="14"/>
      <c r="D153" s="14"/>
    </row>
    <row r="154" spans="1:4" ht="12.75" customHeight="1" x14ac:dyDescent="0.15">
      <c r="A154" s="14"/>
      <c r="B154" s="14"/>
      <c r="C154" s="14"/>
      <c r="D154" s="14"/>
    </row>
    <row r="155" spans="1:4" ht="12.75" customHeight="1" x14ac:dyDescent="0.15">
      <c r="A155" s="14"/>
      <c r="B155" s="14"/>
      <c r="C155" s="14"/>
      <c r="D155" s="14"/>
    </row>
    <row r="156" spans="1:4" ht="12.75" customHeight="1" x14ac:dyDescent="0.15">
      <c r="A156" s="14"/>
      <c r="B156" s="14"/>
      <c r="C156" s="14"/>
      <c r="D156" s="14"/>
    </row>
    <row r="157" spans="1:4" ht="12.75" customHeight="1" x14ac:dyDescent="0.15">
      <c r="A157" s="14"/>
      <c r="B157" s="14"/>
      <c r="C157" s="14"/>
      <c r="D157" s="14"/>
    </row>
    <row r="158" spans="1:4" ht="12.75" customHeight="1" x14ac:dyDescent="0.15">
      <c r="A158" s="14"/>
      <c r="B158" s="14"/>
      <c r="C158" s="14"/>
      <c r="D158" s="14"/>
    </row>
    <row r="159" spans="1:4" ht="12.75" customHeight="1" x14ac:dyDescent="0.15">
      <c r="A159" s="14"/>
      <c r="B159" s="14"/>
      <c r="C159" s="14"/>
      <c r="D159" s="14"/>
    </row>
    <row r="160" spans="1:4" ht="12.75" customHeight="1" x14ac:dyDescent="0.15">
      <c r="A160" s="14"/>
      <c r="B160" s="14"/>
      <c r="C160" s="14"/>
      <c r="D160" s="14"/>
    </row>
    <row r="161" spans="1:4" ht="12.75" customHeight="1" x14ac:dyDescent="0.15">
      <c r="A161" s="14"/>
      <c r="B161" s="14"/>
      <c r="C161" s="14"/>
      <c r="D161" s="14"/>
    </row>
    <row r="162" spans="1:4" ht="12.75" customHeight="1" x14ac:dyDescent="0.15">
      <c r="A162" s="14"/>
      <c r="B162" s="14"/>
      <c r="C162" s="14"/>
      <c r="D162" s="14"/>
    </row>
    <row r="163" spans="1:4" ht="12.75" customHeight="1" x14ac:dyDescent="0.15">
      <c r="A163" s="14"/>
      <c r="B163" s="14"/>
      <c r="C163" s="14"/>
      <c r="D163" s="14"/>
    </row>
    <row r="164" spans="1:4" ht="12.75" customHeight="1" x14ac:dyDescent="0.15">
      <c r="A164" s="14"/>
      <c r="B164" s="14"/>
      <c r="C164" s="14"/>
      <c r="D164" s="14"/>
    </row>
    <row r="165" spans="1:4" ht="12.75" customHeight="1" x14ac:dyDescent="0.15">
      <c r="A165" s="14"/>
      <c r="B165" s="14"/>
      <c r="C165" s="14"/>
      <c r="D165" s="14"/>
    </row>
    <row r="166" spans="1:4" ht="12.75" customHeight="1" x14ac:dyDescent="0.15">
      <c r="A166" s="14"/>
      <c r="B166" s="14"/>
      <c r="C166" s="14"/>
      <c r="D166" s="14"/>
    </row>
    <row r="167" spans="1:4" ht="12.75" customHeight="1" x14ac:dyDescent="0.15">
      <c r="A167" s="14"/>
      <c r="B167" s="14"/>
      <c r="C167" s="14"/>
      <c r="D167" s="14"/>
    </row>
    <row r="168" spans="1:4" ht="12.75" customHeight="1" x14ac:dyDescent="0.15">
      <c r="A168" s="14"/>
      <c r="B168" s="14"/>
      <c r="C168" s="14"/>
      <c r="D168" s="14"/>
    </row>
    <row r="169" spans="1:4" ht="12.75" customHeight="1" x14ac:dyDescent="0.15">
      <c r="A169" s="14"/>
      <c r="B169" s="14"/>
      <c r="C169" s="14"/>
      <c r="D169" s="14"/>
    </row>
  </sheetData>
  <printOptions horizontalCentered="1"/>
  <pageMargins left="0.75" right="0.75" top="0.85972222222222205" bottom="0.57013888888888897" header="0.55000000000000004" footer="0.511811023622047"/>
  <pageSetup paperSize="9" orientation="portrait" horizontalDpi="300" verticalDpi="300"/>
  <headerFooter>
    <oddHeader>&amp;CGLİ, 2022 - KAZA TÜRLERİNE GÖRE DAĞILIM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T113" sqref="T113"/>
    </sheetView>
  </sheetViews>
  <sheetFormatPr baseColWidth="10" defaultColWidth="9" defaultRowHeight="13" x14ac:dyDescent="0.15"/>
  <cols>
    <col min="1" max="1" width="25" customWidth="1"/>
    <col min="2" max="12" width="10" customWidth="1"/>
    <col min="13" max="13" width="10" style="3" customWidth="1"/>
    <col min="14" max="25" width="10" customWidth="1"/>
  </cols>
  <sheetData>
    <row r="1" spans="1:34" ht="12.75" customHeight="1" x14ac:dyDescent="0.15">
      <c r="A1" s="116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12.75" customHeight="1" x14ac:dyDescent="0.15">
      <c r="A2" s="117" t="s">
        <v>648</v>
      </c>
      <c r="B2" s="118" t="s">
        <v>47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9" t="s">
        <v>48</v>
      </c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7"/>
      <c r="AA2" s="117"/>
      <c r="AB2" s="14"/>
      <c r="AC2" s="14"/>
      <c r="AD2" s="14"/>
      <c r="AE2" s="14"/>
      <c r="AF2" s="14"/>
      <c r="AG2" s="14"/>
      <c r="AH2" s="14"/>
    </row>
    <row r="3" spans="1:34" ht="25.5" customHeight="1" x14ac:dyDescent="0.15">
      <c r="A3" s="117" t="s">
        <v>649</v>
      </c>
      <c r="B3" s="118" t="s">
        <v>650</v>
      </c>
      <c r="C3" s="118" t="s">
        <v>651</v>
      </c>
      <c r="D3" s="118" t="s">
        <v>652</v>
      </c>
      <c r="E3" s="118" t="s">
        <v>653</v>
      </c>
      <c r="F3" s="118" t="s">
        <v>654</v>
      </c>
      <c r="G3" s="118" t="s">
        <v>655</v>
      </c>
      <c r="H3" s="118" t="s">
        <v>656</v>
      </c>
      <c r="I3" s="118" t="s">
        <v>657</v>
      </c>
      <c r="J3" s="118" t="s">
        <v>658</v>
      </c>
      <c r="K3" s="118" t="s">
        <v>659</v>
      </c>
      <c r="L3" s="118" t="s">
        <v>660</v>
      </c>
      <c r="M3" s="118" t="s">
        <v>661</v>
      </c>
      <c r="N3" s="119" t="s">
        <v>662</v>
      </c>
      <c r="O3" s="119" t="s">
        <v>663</v>
      </c>
      <c r="P3" s="119" t="s">
        <v>664</v>
      </c>
      <c r="Q3" s="119" t="s">
        <v>665</v>
      </c>
      <c r="R3" s="119" t="s">
        <v>666</v>
      </c>
      <c r="S3" s="119" t="s">
        <v>667</v>
      </c>
      <c r="T3" s="119" t="s">
        <v>668</v>
      </c>
      <c r="U3" s="119" t="s">
        <v>669</v>
      </c>
      <c r="V3" s="119" t="s">
        <v>670</v>
      </c>
      <c r="W3" s="119" t="s">
        <v>671</v>
      </c>
      <c r="X3" s="119" t="s">
        <v>672</v>
      </c>
      <c r="Y3" s="119" t="s">
        <v>673</v>
      </c>
      <c r="Z3" s="117" t="s">
        <v>113</v>
      </c>
      <c r="AA3" s="117" t="s">
        <v>519</v>
      </c>
      <c r="AB3" s="14"/>
      <c r="AC3" s="14"/>
      <c r="AD3" s="14"/>
      <c r="AE3" s="14"/>
      <c r="AF3" s="14"/>
      <c r="AG3" s="14"/>
      <c r="AH3" s="14"/>
    </row>
    <row r="4" spans="1:34" ht="12.75" customHeight="1" x14ac:dyDescent="0.15">
      <c r="A4" s="120" t="s">
        <v>674</v>
      </c>
      <c r="B4" s="116">
        <f>COUNTIFS(veri!H:H,11,veri!I:I,"&gt;=100",veri!I:I,"&lt;200")</f>
        <v>0</v>
      </c>
      <c r="C4" s="116">
        <f>COUNTIFS(veri!H:H,12,veri!I:I,"&gt;=100",veri!I:I,"&lt;200")</f>
        <v>0</v>
      </c>
      <c r="D4" s="116">
        <f>COUNTIFS(veri!H:H,13,veri!I:I,"&gt;=100",veri!I:I,"&lt;200")</f>
        <v>0</v>
      </c>
      <c r="E4" s="116">
        <f>COUNTIFS(veri!H:H,14,veri!I:I,"&gt;=100",veri!I:I,"&lt;200")</f>
        <v>0</v>
      </c>
      <c r="F4" s="116">
        <f>COUNTIFS(veri!H:H,15,veri!I:I,"&gt;=100",veri!I:I,"&lt;200")</f>
        <v>0</v>
      </c>
      <c r="G4" s="116">
        <f>COUNTIFS(veri!H:H,16,veri!I:I,"&gt;=100",veri!I:I,"&lt;200")</f>
        <v>0</v>
      </c>
      <c r="H4" s="116">
        <f>COUNTIFS(veri!H:H,17,veri!I:I,"&gt;=100",veri!I:I,"&lt;200")</f>
        <v>0</v>
      </c>
      <c r="I4" s="116">
        <f>COUNTIFS(veri!H:H,18,veri!I:I,"&gt;=100",veri!I:I,"&lt;200")</f>
        <v>0</v>
      </c>
      <c r="J4" s="116">
        <f>COUNTIFS(veri!H:H,19,veri!I:I,"&gt;=100",veri!I:I,"&lt;200")</f>
        <v>0</v>
      </c>
      <c r="K4" s="116">
        <f>COUNTIFS(veri!H:H,20,veri!I:I,"&gt;=100",veri!I:I,"&lt;200")</f>
        <v>0</v>
      </c>
      <c r="L4" s="116">
        <f>COUNTIFS(veri!H:H,21,veri!I:I,"&gt;=100",veri!I:I,"&lt;200")</f>
        <v>0</v>
      </c>
      <c r="M4" s="116">
        <f>COUNTIFS(veri!H:H,22,veri!I:I,"&gt;=100",veri!I:I,"&lt;200")</f>
        <v>0</v>
      </c>
      <c r="N4" s="116">
        <f>COUNTIFS(veri!H:H,31,veri!I:I,"&gt;=100",veri!I:I,"&lt;200")</f>
        <v>0</v>
      </c>
      <c r="O4" s="116">
        <f>COUNTIFS(veri!H:H,32,veri!I:I,"&gt;=100",veri!I:I,"&lt;200")</f>
        <v>0</v>
      </c>
      <c r="P4" s="116">
        <f>COUNTIFS(veri!H:H,33,veri!I:I,"&gt;=100",veri!I:I,"&lt;200")</f>
        <v>0</v>
      </c>
      <c r="Q4" s="116">
        <f>COUNTIFS(veri!H:H,34,veri!I:I,"&gt;=100",veri!I:I,"&lt;200")</f>
        <v>0</v>
      </c>
      <c r="R4" s="116">
        <f>COUNTIFS(veri!H:H,35,veri!I:I,"&gt;=100",veri!I:I,"&lt;200")</f>
        <v>0</v>
      </c>
      <c r="S4" s="116">
        <f>COUNTIFS(veri!H:H,36,veri!I:I,"&gt;=100",veri!I:I,"&lt;200")</f>
        <v>0</v>
      </c>
      <c r="T4" s="116">
        <f>COUNTIFS(veri!H:H,37,veri!I:I,"&gt;=100",veri!I:I,"&lt;200")</f>
        <v>0</v>
      </c>
      <c r="U4" s="116">
        <f>COUNTIFS(veri!H:H,38,veri!I:I,"&gt;=100",veri!I:I,"&lt;200")</f>
        <v>0</v>
      </c>
      <c r="V4" s="116">
        <f>COUNTIFS(veri!H:H,39,veri!I:I,"&gt;=100",veri!I:I,"&lt;200")</f>
        <v>0</v>
      </c>
      <c r="W4" s="116">
        <f>COUNTIFS(veri!H:H,40,veri!I:I,"&gt;=100",veri!I:I,"&lt;200")</f>
        <v>0</v>
      </c>
      <c r="X4" s="116">
        <f>COUNTIFS(veri!H:H,41,veri!I:I,"&gt;=100",veri!I:I,"&lt;200")</f>
        <v>0</v>
      </c>
      <c r="Y4" s="116">
        <f>COUNTIFS(veri!H:H,42,veri!I:I,"&gt;=100",veri!I:I,"&lt;200")</f>
        <v>0</v>
      </c>
      <c r="Z4" s="121">
        <f t="shared" ref="Z4:Z22" si="0">SUM(B4:Y4)</f>
        <v>0</v>
      </c>
      <c r="AA4" s="14"/>
      <c r="AB4" s="14"/>
      <c r="AC4" s="14"/>
      <c r="AD4" s="14"/>
      <c r="AE4" s="14"/>
      <c r="AF4" s="14"/>
      <c r="AG4" s="14"/>
      <c r="AH4" s="14"/>
    </row>
    <row r="5" spans="1:34" ht="12.75" customHeight="1" x14ac:dyDescent="0.15">
      <c r="A5" s="122" t="s">
        <v>675</v>
      </c>
      <c r="B5" s="123">
        <f>COUNTIFS(veri!H:H,11,veri!I:I,"&gt;=200",veri!I:I,"&lt;300")</f>
        <v>0</v>
      </c>
      <c r="C5" s="123">
        <f>COUNTIFS(veri!H:H,12,veri!I:I,"&gt;=200",veri!I:I,"&lt;300")</f>
        <v>0</v>
      </c>
      <c r="D5" s="123">
        <f>COUNTIFS(veri!H:H,13,veri!I:I,"&gt;=200",veri!I:I,"&lt;300")</f>
        <v>0</v>
      </c>
      <c r="E5" s="123">
        <f>COUNTIFS(veri!H:H,14,veri!I:I,"&gt;=200",veri!I:I,"&lt;300")</f>
        <v>0</v>
      </c>
      <c r="F5" s="123">
        <f>COUNTIFS(veri!H:H,15,veri!I:I,"&gt;=200",veri!I:I,"&lt;300")</f>
        <v>0</v>
      </c>
      <c r="G5" s="123">
        <f>COUNTIFS(veri!H:H,16,veri!I:I,"&gt;=200",veri!I:I,"&lt;300")</f>
        <v>0</v>
      </c>
      <c r="H5" s="123">
        <f>COUNTIFS(veri!H:H,17,veri!I:I,"&gt;=200",veri!I:I,"&lt;300")</f>
        <v>0</v>
      </c>
      <c r="I5" s="123">
        <f>COUNTIFS(veri!H:H,18,veri!I:I,"&gt;=200",veri!I:I,"&lt;300")</f>
        <v>0</v>
      </c>
      <c r="J5" s="123">
        <f>COUNTIFS(veri!H:H,19,veri!I:I,"&gt;=200",veri!I:I,"&lt;300")</f>
        <v>0</v>
      </c>
      <c r="K5" s="123">
        <f>COUNTIFS(veri!H:H,20,veri!I:I,"&gt;=200",veri!I:I,"&lt;300")</f>
        <v>0</v>
      </c>
      <c r="L5" s="123">
        <f>COUNTIFS(veri!H:H,21,veri!I:I,"&gt;=200",veri!I:I,"&lt;300")</f>
        <v>0</v>
      </c>
      <c r="M5" s="123">
        <f>COUNTIFS(veri!H:H,22,veri!I:I,"&gt;=200",veri!I:I,"&lt;300")</f>
        <v>0</v>
      </c>
      <c r="N5" s="123">
        <f>COUNTIFS(veri!H:H,31,veri!I:I,"&gt;=200",veri!I:I,"&lt;300")</f>
        <v>0</v>
      </c>
      <c r="O5" s="123">
        <f>COUNTIFS(veri!H:H,32,veri!I:I,"&gt;=200",veri!I:I,"&lt;300")</f>
        <v>0</v>
      </c>
      <c r="P5" s="123">
        <f>COUNTIFS(veri!H:H,33,veri!I:I,"&gt;=200",veri!I:I,"&lt;300")</f>
        <v>1</v>
      </c>
      <c r="Q5" s="123">
        <f>COUNTIFS(veri!H:H,34,veri!I:I,"&gt;=200",veri!I:I,"&lt;300")</f>
        <v>0</v>
      </c>
      <c r="R5" s="123">
        <f>COUNTIFS(veri!H:H,35,veri!I:I,"&gt;=200",veri!I:I,"&lt;300")</f>
        <v>0</v>
      </c>
      <c r="S5" s="123">
        <f>COUNTIFS(veri!H:H,36,veri!I:I,"&gt;=200",veri!I:I,"&lt;300")</f>
        <v>0</v>
      </c>
      <c r="T5" s="123">
        <f>COUNTIFS(veri!H:H,37,veri!I:I,"&gt;=200",veri!I:I,"&lt;300")</f>
        <v>0</v>
      </c>
      <c r="U5" s="123">
        <f>COUNTIFS(veri!H:H,38,veri!I:I,"&gt;=200",veri!I:I,"&lt;300")</f>
        <v>0</v>
      </c>
      <c r="V5" s="123">
        <f>COUNTIFS(veri!H:H,39,veri!I:I,"&gt;=200",veri!I:I,"&lt;300")</f>
        <v>0</v>
      </c>
      <c r="W5" s="123">
        <f>COUNTIFS(veri!H:H,40,veri!I:I,"&gt;=200",veri!I:I,"&lt;300")</f>
        <v>0</v>
      </c>
      <c r="X5" s="123">
        <f>COUNTIFS(veri!H:H,41,veri!I:I,"&gt;=200",veri!I:I,"&lt;300")</f>
        <v>0</v>
      </c>
      <c r="Y5" s="123">
        <f>COUNTIFS(veri!H:H,42,veri!I:I,"&gt;=200",veri!I:I,"&lt;300")</f>
        <v>0</v>
      </c>
      <c r="Z5" s="121">
        <f t="shared" si="0"/>
        <v>1</v>
      </c>
      <c r="AA5" s="14"/>
      <c r="AB5" s="14"/>
      <c r="AC5" s="14"/>
      <c r="AD5" s="14"/>
      <c r="AE5" s="14"/>
      <c r="AF5" s="14"/>
      <c r="AG5" s="14"/>
      <c r="AH5" s="14"/>
    </row>
    <row r="6" spans="1:34" ht="12.75" customHeight="1" x14ac:dyDescent="0.15">
      <c r="A6" s="120" t="s">
        <v>676</v>
      </c>
      <c r="B6" s="116">
        <f>COUNTIFS(veri!H:H,11,veri!I:I,"&gt;=300",veri!I:I,"&lt;400")</f>
        <v>0</v>
      </c>
      <c r="C6" s="116">
        <f>COUNTIFS(veri!H:H,12,veri!I:I,"&gt;=300",veri!I:I,"&lt;400")</f>
        <v>0</v>
      </c>
      <c r="D6" s="116">
        <f>COUNTIFS(veri!H:H,13,veri!I:I,"&gt;=300",veri!I:I,"&lt;400")</f>
        <v>0</v>
      </c>
      <c r="E6" s="116">
        <f>COUNTIFS(veri!H:H,14,veri!I:I,"&gt;=300",veri!I:I,"&lt;400")</f>
        <v>0</v>
      </c>
      <c r="F6" s="116">
        <f>COUNTIFS(veri!H:H,15,veri!I:I,"&gt;=300",veri!I:I,"&lt;400")</f>
        <v>0</v>
      </c>
      <c r="G6" s="116">
        <f>COUNTIFS(veri!H:H,16,veri!I:I,"&gt;=300",veri!I:I,"&lt;400")</f>
        <v>0</v>
      </c>
      <c r="H6" s="116">
        <f>COUNTIFS(veri!H:H,17,veri!I:I,"&gt;=300",veri!I:I,"&lt;400")</f>
        <v>0</v>
      </c>
      <c r="I6" s="116">
        <f>COUNTIFS(veri!H:H,18,veri!I:I,"&gt;=300",veri!I:I,"&lt;400")</f>
        <v>0</v>
      </c>
      <c r="J6" s="116">
        <f>COUNTIFS(veri!H:H,19,veri!I:I,"&gt;=300",veri!I:I,"&lt;400")</f>
        <v>0</v>
      </c>
      <c r="K6" s="116">
        <f>COUNTIFS(veri!H:H,20,veri!I:I,"&gt;=300",veri!I:I,"&lt;400")</f>
        <v>0</v>
      </c>
      <c r="L6" s="116">
        <f>COUNTIFS(veri!H:H,21,veri!I:I,"&gt;=300",veri!I:I,"&lt;400")</f>
        <v>0</v>
      </c>
      <c r="M6" s="116">
        <f>COUNTIFS(veri!H:H,22,veri!I:I,"&gt;=300",veri!I:I,"&lt;400")</f>
        <v>0</v>
      </c>
      <c r="N6" s="116">
        <f>COUNTIFS(veri!H:H,31,veri!I:I,"&gt;=300",veri!I:I,"&lt;400")</f>
        <v>0</v>
      </c>
      <c r="O6" s="116">
        <f>COUNTIFS(veri!H:H,32,veri!I:I,"&gt;=300",veri!I:I,"&lt;400")</f>
        <v>1</v>
      </c>
      <c r="P6" s="116">
        <f>COUNTIFS(veri!H:H,33,veri!I:I,"&gt;=300",veri!I:I,"&lt;400")</f>
        <v>0</v>
      </c>
      <c r="Q6" s="116">
        <f>COUNTIFS(veri!H:H,34,veri!I:I,"&gt;=300",veri!I:I,"&lt;400")</f>
        <v>0</v>
      </c>
      <c r="R6" s="116">
        <f>COUNTIFS(veri!H:H,35,veri!I:I,"&gt;=300",veri!I:I,"&lt;400")</f>
        <v>1</v>
      </c>
      <c r="S6" s="116">
        <f>COUNTIFS(veri!H:H,36,veri!I:I,"&gt;=300",veri!I:I,"&lt;400")</f>
        <v>0</v>
      </c>
      <c r="T6" s="116">
        <f>COUNTIFS(veri!H:H,37,veri!I:I,"&gt;=300",veri!I:I,"&lt;400")</f>
        <v>0</v>
      </c>
      <c r="U6" s="116">
        <f>COUNTIFS(veri!H:H,38,veri!I:I,"&gt;=300",veri!I:I,"&lt;400")</f>
        <v>0</v>
      </c>
      <c r="V6" s="116">
        <f>COUNTIFS(veri!H:H,39,veri!I:I,"&gt;=300",veri!I:I,"&lt;400")</f>
        <v>0</v>
      </c>
      <c r="W6" s="116">
        <f>COUNTIFS(veri!H:H,40,veri!I:I,"&gt;=300",veri!I:I,"&lt;400")</f>
        <v>0</v>
      </c>
      <c r="X6" s="116">
        <f>COUNTIFS(veri!H:H,41,veri!I:I,"&gt;=300",veri!I:I,"&lt;400")</f>
        <v>1</v>
      </c>
      <c r="Y6" s="116">
        <f>COUNTIFS(veri!H:H,42,veri!I:I,"&gt;=300",veri!I:I,"&lt;400")</f>
        <v>0</v>
      </c>
      <c r="Z6" s="121">
        <f t="shared" si="0"/>
        <v>3</v>
      </c>
      <c r="AA6" s="14"/>
      <c r="AB6" s="14"/>
      <c r="AC6" s="14"/>
      <c r="AD6" s="14"/>
      <c r="AE6" s="14"/>
      <c r="AF6" s="14"/>
      <c r="AG6" s="14"/>
      <c r="AH6" s="14"/>
    </row>
    <row r="7" spans="1:34" ht="12.75" customHeight="1" x14ac:dyDescent="0.15">
      <c r="A7" s="122" t="s">
        <v>677</v>
      </c>
      <c r="B7" s="123">
        <f>COUNTIFS(veri!H:H,11,veri!I:I,"&gt;=400",veri!I:I,"&lt;500")</f>
        <v>0</v>
      </c>
      <c r="C7" s="123">
        <f>COUNTIFS(veri!H:H,12,veri!I:I,"&gt;=400",veri!I:I,"&lt;500")</f>
        <v>0</v>
      </c>
      <c r="D7" s="123">
        <f>COUNTIFS(veri!H:H,13,veri!I:I,"&gt;=400",veri!I:I,"&lt;500")</f>
        <v>0</v>
      </c>
      <c r="E7" s="123">
        <f>COUNTIFS(veri!H:H,14,veri!I:I,"&gt;=400",veri!I:I,"&lt;500")</f>
        <v>0</v>
      </c>
      <c r="F7" s="123">
        <f>COUNTIFS(veri!H:H,15,veri!I:I,"&gt;=400",veri!I:I,"&lt;500")</f>
        <v>0</v>
      </c>
      <c r="G7" s="123">
        <f>COUNTIFS(veri!H:H,16,veri!I:I,"&gt;=400",veri!I:I,"&lt;500")</f>
        <v>0</v>
      </c>
      <c r="H7" s="123">
        <f>COUNTIFS(veri!H:H,17,veri!I:I,"&gt;=400",veri!I:I,"&lt;500")</f>
        <v>0</v>
      </c>
      <c r="I7" s="123">
        <f>COUNTIFS(veri!H:H,18,veri!I:I,"&gt;=400",veri!I:I,"&lt;500")</f>
        <v>0</v>
      </c>
      <c r="J7" s="123">
        <f>COUNTIFS(veri!H:H,19,veri!I:I,"&gt;=400",veri!I:I,"&lt;500")</f>
        <v>0</v>
      </c>
      <c r="K7" s="123">
        <f>COUNTIFS(veri!H:H,20,veri!I:I,"&gt;=400",veri!I:I,"&lt;500")</f>
        <v>0</v>
      </c>
      <c r="L7" s="123">
        <f>COUNTIFS(veri!H:H,21,veri!I:I,"&gt;=400",veri!I:I,"&lt;500")</f>
        <v>0</v>
      </c>
      <c r="M7" s="123">
        <f>COUNTIFS(veri!H:H,22,veri!I:I,"&gt;=400",veri!I:I,"&lt;500")</f>
        <v>0</v>
      </c>
      <c r="N7" s="123">
        <f>COUNTIFS(veri!H:H,31,veri!I:I,"&gt;=400",veri!I:I,"&lt;500")</f>
        <v>0</v>
      </c>
      <c r="O7" s="123">
        <f>COUNTIFS(veri!H:H,32,veri!I:I,"&gt;=400",veri!I:I,"&lt;500")</f>
        <v>0</v>
      </c>
      <c r="P7" s="123">
        <f>COUNTIFS(veri!H:H,33,veri!I:I,"&gt;=400",veri!I:I,"&lt;500")</f>
        <v>2</v>
      </c>
      <c r="Q7" s="123">
        <f>COUNTIFS(veri!H:H,34,veri!I:I,"&gt;=400",veri!I:I,"&lt;500")</f>
        <v>0</v>
      </c>
      <c r="R7" s="123">
        <f>COUNTIFS(veri!H:H,35,veri!I:I,"&gt;=400",veri!I:I,"&lt;500")</f>
        <v>0</v>
      </c>
      <c r="S7" s="123">
        <f>COUNTIFS(veri!H:H,36,veri!I:I,"&gt;=400",veri!I:I,"&lt;500")</f>
        <v>0</v>
      </c>
      <c r="T7" s="123">
        <f>COUNTIFS(veri!H:H,37,veri!I:I,"&gt;=400",veri!I:I,"&lt;500")</f>
        <v>0</v>
      </c>
      <c r="U7" s="123">
        <f>COUNTIFS(veri!H:H,38,veri!I:I,"&gt;=400",veri!I:I,"&lt;500")</f>
        <v>0</v>
      </c>
      <c r="V7" s="123">
        <f>COUNTIFS(veri!H:H,39,veri!I:I,"&gt;=400",veri!I:I,"&lt;500")</f>
        <v>0</v>
      </c>
      <c r="W7" s="123">
        <f>COUNTIFS(veri!H:H,40,veri!I:I,"&gt;=400",veri!I:I,"&lt;500")</f>
        <v>0</v>
      </c>
      <c r="X7" s="123">
        <f>COUNTIFS(veri!H:H,41,veri!I:I,"&gt;=400",veri!I:I,"&lt;500")</f>
        <v>0</v>
      </c>
      <c r="Y7" s="123">
        <f>COUNTIFS(veri!H:H,42,veri!I:I,"&gt;=400",veri!I:I,"&lt;500")</f>
        <v>0</v>
      </c>
      <c r="Z7" s="121">
        <f t="shared" si="0"/>
        <v>2</v>
      </c>
      <c r="AA7" s="14"/>
      <c r="AB7" s="14"/>
      <c r="AC7" s="14"/>
      <c r="AD7" s="14"/>
      <c r="AE7" s="14"/>
      <c r="AF7" s="14"/>
      <c r="AG7" s="14"/>
      <c r="AH7" s="14"/>
    </row>
    <row r="8" spans="1:34" ht="12.75" customHeight="1" x14ac:dyDescent="0.15">
      <c r="A8" s="120" t="s">
        <v>678</v>
      </c>
      <c r="B8" s="116">
        <f>COUNTIFS(veri!H:H,11,veri!I:I,"&gt;=500",veri!I:I,"&lt;600")</f>
        <v>0</v>
      </c>
      <c r="C8" s="116">
        <f>COUNTIFS(veri!H:H,12,veri!I:I,"&gt;=500",veri!I:I,"&lt;600")</f>
        <v>0</v>
      </c>
      <c r="D8" s="116">
        <f>COUNTIFS(veri!H:H,13,veri!I:I,"&gt;=500",veri!I:I,"&lt;600")</f>
        <v>0</v>
      </c>
      <c r="E8" s="116">
        <f>COUNTIFS(veri!H:H,14,veri!I:I,"&gt;=500",veri!I:I,"&lt;600")</f>
        <v>0</v>
      </c>
      <c r="F8" s="116">
        <f>COUNTIFS(veri!H:H,15,veri!I:I,"&gt;=500",veri!I:I,"&lt;600")</f>
        <v>0</v>
      </c>
      <c r="G8" s="116">
        <f>COUNTIFS(veri!H:H,16,veri!I:I,"&gt;=500",veri!I:I,"&lt;600")</f>
        <v>0</v>
      </c>
      <c r="H8" s="116">
        <f>COUNTIFS(veri!H:H,17,veri!I:I,"&gt;=500",veri!I:I,"&lt;600")</f>
        <v>0</v>
      </c>
      <c r="I8" s="116">
        <f>COUNTIFS(veri!H:H,18,veri!I:I,"&gt;=500",veri!I:I,"&lt;600")</f>
        <v>0</v>
      </c>
      <c r="J8" s="116">
        <f>COUNTIFS(veri!H:H,19,veri!I:I,"&gt;=500",veri!I:I,"&lt;600")</f>
        <v>0</v>
      </c>
      <c r="K8" s="116">
        <f>COUNTIFS(veri!H:H,20,veri!I:I,"&gt;=500",veri!I:I,"&lt;600")</f>
        <v>0</v>
      </c>
      <c r="L8" s="116">
        <f>COUNTIFS(veri!H:H,21,veri!I:I,"&gt;=500",veri!I:I,"&lt;600")</f>
        <v>0</v>
      </c>
      <c r="M8" s="116">
        <f>COUNTIFS(veri!H:H,22,veri!I:I,"&gt;=500",veri!I:I,"&lt;600")</f>
        <v>0</v>
      </c>
      <c r="N8" s="116">
        <f>COUNTIFS(veri!H:H,31,veri!I:I,"&gt;=500",veri!I:I,"&lt;600")</f>
        <v>0</v>
      </c>
      <c r="O8" s="116">
        <f>COUNTIFS(veri!H:H,32,veri!I:I,"&gt;=500",veri!I:I,"&lt;600")</f>
        <v>0</v>
      </c>
      <c r="P8" s="116">
        <f>COUNTIFS(veri!H:H,33,veri!I:I,"&gt;=500",veri!I:I,"&lt;600")</f>
        <v>0</v>
      </c>
      <c r="Q8" s="116">
        <f>COUNTIFS(veri!H:H,34,veri!I:I,"&gt;=500",veri!I:I,"&lt;600")</f>
        <v>0</v>
      </c>
      <c r="R8" s="116">
        <f>COUNTIFS(veri!H:H,35,veri!I:I,"&gt;=500",veri!I:I,"&lt;600")</f>
        <v>0</v>
      </c>
      <c r="S8" s="116">
        <f>COUNTIFS(veri!H:H,36,veri!I:I,"&gt;=500",veri!I:I,"&lt;600")</f>
        <v>0</v>
      </c>
      <c r="T8" s="116">
        <f>COUNTIFS(veri!H:H,37,veri!I:I,"&gt;=500",veri!I:I,"&lt;600")</f>
        <v>0</v>
      </c>
      <c r="U8" s="116">
        <f>COUNTIFS(veri!H:H,38,veri!I:I,"&gt;=500",veri!I:I,"&lt;600")</f>
        <v>0</v>
      </c>
      <c r="V8" s="116">
        <f>COUNTIFS(veri!H:H,39,veri!I:I,"&gt;=500",veri!I:I,"&lt;600")</f>
        <v>0</v>
      </c>
      <c r="W8" s="116">
        <f>COUNTIFS(veri!H:H,40,veri!I:I,"&gt;=500",veri!I:I,"&lt;600")</f>
        <v>0</v>
      </c>
      <c r="X8" s="116">
        <f>COUNTIFS(veri!H:H,41,veri!I:I,"&gt;=500",veri!I:I,"&lt;600")</f>
        <v>0</v>
      </c>
      <c r="Y8" s="116">
        <f>COUNTIFS(veri!H:H,42,veri!I:I,"&gt;=500",veri!I:I,"&lt;600")</f>
        <v>0</v>
      </c>
      <c r="Z8" s="121">
        <f t="shared" si="0"/>
        <v>0</v>
      </c>
      <c r="AA8" s="14"/>
      <c r="AB8" s="14"/>
      <c r="AC8" s="14"/>
      <c r="AD8" s="14"/>
      <c r="AE8" s="14"/>
      <c r="AF8" s="14"/>
      <c r="AG8" s="14"/>
      <c r="AH8" s="14"/>
    </row>
    <row r="9" spans="1:34" ht="12.75" customHeight="1" x14ac:dyDescent="0.15">
      <c r="A9" s="122" t="s">
        <v>679</v>
      </c>
      <c r="B9" s="123">
        <f>COUNTIFS(veri!H:H,11,veri!I:I,"&gt;=600",veri!I:I,"&lt;700")</f>
        <v>0</v>
      </c>
      <c r="C9" s="123">
        <f>COUNTIFS(veri!H:H,12,veri!I:I,"&gt;=600",veri!I:I,"&lt;700")</f>
        <v>0</v>
      </c>
      <c r="D9" s="123">
        <f>COUNTIFS(veri!H:H,13,veri!I:I,"&gt;=600",veri!I:I,"&lt;700")</f>
        <v>0</v>
      </c>
      <c r="E9" s="123">
        <f>COUNTIFS(veri!H:H,14,veri!I:I,"&gt;=600",veri!I:I,"&lt;700")</f>
        <v>0</v>
      </c>
      <c r="F9" s="123">
        <f>COUNTIFS(veri!H:H,15,veri!I:I,"&gt;=600",veri!I:I,"&lt;700")</f>
        <v>0</v>
      </c>
      <c r="G9" s="123">
        <f>COUNTIFS(veri!H:H,16,veri!I:I,"&gt;=600",veri!I:I,"&lt;700")</f>
        <v>0</v>
      </c>
      <c r="H9" s="123">
        <f>COUNTIFS(veri!H:H,17,veri!I:I,"&gt;=600",veri!I:I,"&lt;700")</f>
        <v>0</v>
      </c>
      <c r="I9" s="123">
        <f>COUNTIFS(veri!H:H,18,veri!I:I,"&gt;=600",veri!I:I,"&lt;700")</f>
        <v>0</v>
      </c>
      <c r="J9" s="123">
        <f>COUNTIFS(veri!H:H,19,veri!I:I,"&gt;=600",veri!I:I,"&lt;700")</f>
        <v>0</v>
      </c>
      <c r="K9" s="123">
        <f>COUNTIFS(veri!H:H,20,veri!I:I,"&gt;=600",veri!I:I,"&lt;700")</f>
        <v>0</v>
      </c>
      <c r="L9" s="123">
        <f>COUNTIFS(veri!H:H,21,veri!I:I,"&gt;=600",veri!I:I,"&lt;700")</f>
        <v>0</v>
      </c>
      <c r="M9" s="123">
        <f>COUNTIFS(veri!H:H,22,veri!I:I,"&gt;=600",veri!I:I,"&lt;700")</f>
        <v>0</v>
      </c>
      <c r="N9" s="123">
        <f>COUNTIFS(veri!H:H,31,veri!I:I,"&gt;=600",veri!I:I,"&lt;700")</f>
        <v>0</v>
      </c>
      <c r="O9" s="123">
        <f>COUNTIFS(veri!H:H,32,veri!I:I,"&gt;=600",veri!I:I,"&lt;700")</f>
        <v>0</v>
      </c>
      <c r="P9" s="123">
        <f>COUNTIFS(veri!H:H,33,veri!I:I,"&gt;=600",veri!I:I,"&lt;700")</f>
        <v>0</v>
      </c>
      <c r="Q9" s="123">
        <f>COUNTIFS(veri!H:H,34,veri!I:I,"&gt;=600",veri!I:I,"&lt;700")</f>
        <v>0</v>
      </c>
      <c r="R9" s="123">
        <f>COUNTIFS(veri!H:H,35,veri!I:I,"&gt;=600",veri!I:I,"&lt;700")</f>
        <v>0</v>
      </c>
      <c r="S9" s="123">
        <f>COUNTIFS(veri!H:H,36,veri!I:I,"&gt;=600",veri!I:I,"&lt;700")</f>
        <v>0</v>
      </c>
      <c r="T9" s="123">
        <f>COUNTIFS(veri!H:H,37,veri!I:I,"&gt;=600",veri!I:I,"&lt;700")</f>
        <v>0</v>
      </c>
      <c r="U9" s="123">
        <f>COUNTIFS(veri!H:H,38,veri!I:I,"&gt;=600",veri!I:I,"&lt;700")</f>
        <v>0</v>
      </c>
      <c r="V9" s="123">
        <f>COUNTIFS(veri!H:H,39,veri!I:I,"&gt;=600",veri!I:I,"&lt;700")</f>
        <v>0</v>
      </c>
      <c r="W9" s="123">
        <f>COUNTIFS(veri!H:H,40,veri!I:I,"&gt;=600",veri!I:I,"&lt;700")</f>
        <v>0</v>
      </c>
      <c r="X9" s="123">
        <f>COUNTIFS(veri!H:H,41,veri!I:I,"&gt;=600",veri!I:I,"&lt;700")</f>
        <v>0</v>
      </c>
      <c r="Y9" s="123">
        <f>COUNTIFS(veri!H:H,42,veri!I:I,"&gt;=600",veri!I:I,"&lt;700")</f>
        <v>0</v>
      </c>
      <c r="Z9" s="121">
        <f t="shared" si="0"/>
        <v>0</v>
      </c>
      <c r="AA9" s="14"/>
      <c r="AB9" s="14"/>
      <c r="AC9" s="14"/>
      <c r="AD9" s="14"/>
      <c r="AE9" s="14"/>
      <c r="AF9" s="14"/>
      <c r="AG9" s="14"/>
      <c r="AH9" s="14"/>
    </row>
    <row r="10" spans="1:34" ht="12.75" customHeight="1" x14ac:dyDescent="0.15">
      <c r="A10" s="120" t="s">
        <v>680</v>
      </c>
      <c r="B10" s="116">
        <f>COUNTIFS(veri!H:H,11,veri!I:I,"&gt;=700",veri!I:I,"&lt;800")</f>
        <v>0</v>
      </c>
      <c r="C10" s="116">
        <f>COUNTIFS(veri!H:H,12,veri!I:I,"&gt;=700",veri!I:I,"&lt;800")</f>
        <v>0</v>
      </c>
      <c r="D10" s="116">
        <f>COUNTIFS(veri!H:H,13,veri!I:I,"&gt;=700",veri!I:I,"&lt;800")</f>
        <v>0</v>
      </c>
      <c r="E10" s="116">
        <f>COUNTIFS(veri!H:H,14,veri!I:I,"&gt;=700",veri!I:I,"&lt;800")</f>
        <v>0</v>
      </c>
      <c r="F10" s="116">
        <f>COUNTIFS(veri!H:H,15,veri!I:I,"&gt;=700",veri!I:I,"&lt;800")</f>
        <v>0</v>
      </c>
      <c r="G10" s="116">
        <f>COUNTIFS(veri!H:H,16,veri!I:I,"&gt;=700",veri!I:I,"&lt;800")</f>
        <v>0</v>
      </c>
      <c r="H10" s="116">
        <f>COUNTIFS(veri!H:H,17,veri!I:I,"&gt;=700",veri!I:I,"&lt;800")</f>
        <v>0</v>
      </c>
      <c r="I10" s="116">
        <f>COUNTIFS(veri!H:H,18,veri!I:I,"&gt;=700",veri!I:I,"&lt;800")</f>
        <v>0</v>
      </c>
      <c r="J10" s="116">
        <f>COUNTIFS(veri!H:H,19,veri!I:I,"&gt;=700",veri!I:I,"&lt;800")</f>
        <v>0</v>
      </c>
      <c r="K10" s="116">
        <f>COUNTIFS(veri!H:H,20,veri!I:I,"&gt;=700",veri!I:I,"&lt;800")</f>
        <v>0</v>
      </c>
      <c r="L10" s="116">
        <f>COUNTIFS(veri!H:H,21,veri!I:I,"&gt;=700",veri!I:I,"&lt;800")</f>
        <v>0</v>
      </c>
      <c r="M10" s="116">
        <f>COUNTIFS(veri!H:H,22,veri!I:I,"&gt;=700",veri!I:I,"&lt;800")</f>
        <v>0</v>
      </c>
      <c r="N10" s="116">
        <f>COUNTIFS(veri!H:H,31,veri!I:I,"&gt;=700",veri!I:I,"&lt;800")</f>
        <v>0</v>
      </c>
      <c r="O10" s="116">
        <f>COUNTIFS(veri!H:H,32,veri!I:I,"&gt;=700",veri!I:I,"&lt;800")</f>
        <v>0</v>
      </c>
      <c r="P10" s="116">
        <f>COUNTIFS(veri!H:H,33,veri!I:I,"&gt;=700",veri!I:I,"&lt;800")</f>
        <v>0</v>
      </c>
      <c r="Q10" s="116">
        <f>COUNTIFS(veri!H:H,34,veri!I:I,"&gt;=700",veri!I:I,"&lt;800")</f>
        <v>0</v>
      </c>
      <c r="R10" s="116">
        <f>COUNTIFS(veri!H:H,35,veri!I:I,"&gt;=700",veri!I:I,"&lt;800")</f>
        <v>0</v>
      </c>
      <c r="S10" s="116">
        <f>COUNTIFS(veri!H:H,36,veri!I:I,"&gt;=700",veri!I:I,"&lt;800")</f>
        <v>0</v>
      </c>
      <c r="T10" s="116">
        <f>COUNTIFS(veri!H:H,37,veri!I:I,"&gt;=700",veri!I:I,"&lt;800")</f>
        <v>0</v>
      </c>
      <c r="U10" s="116">
        <f>COUNTIFS(veri!H:H,38,veri!I:I,"&gt;=700",veri!I:I,"&lt;800")</f>
        <v>0</v>
      </c>
      <c r="V10" s="116">
        <f>COUNTIFS(veri!H:H,39,veri!I:I,"&gt;=700",veri!I:I,"&lt;800")</f>
        <v>0</v>
      </c>
      <c r="W10" s="116">
        <f>COUNTIFS(veri!H:H,40,veri!I:I,"&gt;=700",veri!I:I,"&lt;800")</f>
        <v>0</v>
      </c>
      <c r="X10" s="116">
        <f>COUNTIFS(veri!H:H,41,veri!I:I,"&gt;=700",veri!I:I,"&lt;800")</f>
        <v>0</v>
      </c>
      <c r="Y10" s="116">
        <f>COUNTIFS(veri!H:H,42,veri!I:I,"&gt;=700",veri!I:I,"&lt;800")</f>
        <v>0</v>
      </c>
      <c r="Z10" s="121">
        <f t="shared" si="0"/>
        <v>0</v>
      </c>
      <c r="AA10" s="14"/>
      <c r="AB10" s="14"/>
      <c r="AC10" s="14"/>
      <c r="AD10" s="14"/>
      <c r="AE10" s="14"/>
      <c r="AF10" s="14"/>
      <c r="AG10" s="14"/>
      <c r="AH10" s="14"/>
    </row>
    <row r="11" spans="1:34" ht="12.75" customHeight="1" x14ac:dyDescent="0.15">
      <c r="A11" s="122" t="s">
        <v>681</v>
      </c>
      <c r="B11" s="123">
        <f>COUNTIFS(veri!H:H,11,veri!I:I,"&gt;=800",veri!I:I,"&lt;900")</f>
        <v>0</v>
      </c>
      <c r="C11" s="123">
        <f>COUNTIFS(veri!H:H,12,veri!I:I,"&gt;=800",veri!I:I,"&lt;900")</f>
        <v>0</v>
      </c>
      <c r="D11" s="123">
        <f>COUNTIFS(veri!H:H,13,veri!I:I,"&gt;=800",veri!I:I,"&lt;900")</f>
        <v>0</v>
      </c>
      <c r="E11" s="123">
        <f>COUNTIFS(veri!H:H,14,veri!I:I,"&gt;=800",veri!I:I,"&lt;900")</f>
        <v>0</v>
      </c>
      <c r="F11" s="123">
        <f>COUNTIFS(veri!H:H,15,veri!I:I,"&gt;=800",veri!I:I,"&lt;900")</f>
        <v>0</v>
      </c>
      <c r="G11" s="123">
        <f>COUNTIFS(veri!H:H,16,veri!I:I,"&gt;=800",veri!I:I,"&lt;900")</f>
        <v>0</v>
      </c>
      <c r="H11" s="123">
        <f>COUNTIFS(veri!H:H,17,veri!I:I,"&gt;=800",veri!I:I,"&lt;900")</f>
        <v>0</v>
      </c>
      <c r="I11" s="123">
        <f>COUNTIFS(veri!H:H,18,veri!I:I,"&gt;=800",veri!I:I,"&lt;900")</f>
        <v>0</v>
      </c>
      <c r="J11" s="123">
        <f>COUNTIFS(veri!H:H,19,veri!I:I,"&gt;=800",veri!I:I,"&lt;900")</f>
        <v>0</v>
      </c>
      <c r="K11" s="123">
        <f>COUNTIFS(veri!H:H,20,veri!I:I,"&gt;=800",veri!I:I,"&lt;900")</f>
        <v>0</v>
      </c>
      <c r="L11" s="123">
        <f>COUNTIFS(veri!H:H,21,veri!I:I,"&gt;=800",veri!I:I,"&lt;900")</f>
        <v>0</v>
      </c>
      <c r="M11" s="123">
        <f>COUNTIFS(veri!H:H,22,veri!I:I,"&gt;=800",veri!I:I,"&lt;900")</f>
        <v>0</v>
      </c>
      <c r="N11" s="123">
        <f>COUNTIFS(veri!H:H,31,veri!I:I,"&gt;=800",veri!I:I,"&lt;900")</f>
        <v>0</v>
      </c>
      <c r="O11" s="123">
        <f>COUNTIFS(veri!H:H,32,veri!I:I,"&gt;=800",veri!I:I,"&lt;900")</f>
        <v>0</v>
      </c>
      <c r="P11" s="123">
        <f>COUNTIFS(veri!H:H,33,veri!I:I,"&gt;=800",veri!I:I,"&lt;900")</f>
        <v>0</v>
      </c>
      <c r="Q11" s="123">
        <f>COUNTIFS(veri!H:H,34,veri!I:I,"&gt;=800",veri!I:I,"&lt;900")</f>
        <v>0</v>
      </c>
      <c r="R11" s="123">
        <f>COUNTIFS(veri!H:H,35,veri!I:I,"&gt;=800",veri!I:I,"&lt;900")</f>
        <v>0</v>
      </c>
      <c r="S11" s="123">
        <f>COUNTIFS(veri!H:H,36,veri!I:I,"&gt;=800",veri!I:I,"&lt;900")</f>
        <v>0</v>
      </c>
      <c r="T11" s="123">
        <f>COUNTIFS(veri!H:H,37,veri!I:I,"&gt;=800",veri!I:I,"&lt;900")</f>
        <v>0</v>
      </c>
      <c r="U11" s="123">
        <f>COUNTIFS(veri!H:H,38,veri!I:I,"&gt;=800",veri!I:I,"&lt;900")</f>
        <v>0</v>
      </c>
      <c r="V11" s="123">
        <f>COUNTIFS(veri!H:H,39,veri!I:I,"&gt;=800",veri!I:I,"&lt;900")</f>
        <v>0</v>
      </c>
      <c r="W11" s="123">
        <f>COUNTIFS(veri!H:H,40,veri!I:I,"&gt;=800",veri!I:I,"&lt;900")</f>
        <v>0</v>
      </c>
      <c r="X11" s="123">
        <f>COUNTIFS(veri!H:H,41,veri!I:I,"&gt;=800",veri!I:I,"&lt;900")</f>
        <v>0</v>
      </c>
      <c r="Y11" s="123">
        <f>COUNTIFS(veri!H:H,42,veri!I:I,"&gt;=800",veri!I:I,"&lt;900")</f>
        <v>0</v>
      </c>
      <c r="Z11" s="121">
        <f t="shared" si="0"/>
        <v>0</v>
      </c>
      <c r="AA11" s="14"/>
      <c r="AB11" s="14"/>
      <c r="AC11" s="14"/>
      <c r="AD11" s="14"/>
      <c r="AE11" s="14"/>
      <c r="AF11" s="14"/>
      <c r="AG11" s="14"/>
      <c r="AH11" s="14"/>
    </row>
    <row r="12" spans="1:34" ht="12.75" customHeight="1" x14ac:dyDescent="0.15">
      <c r="A12" s="120" t="s">
        <v>682</v>
      </c>
      <c r="B12" s="116">
        <f>COUNTIFS(veri!H:H,11,veri!I:I,"&gt;=900",veri!I:I,"&lt;1000")</f>
        <v>0</v>
      </c>
      <c r="C12" s="116">
        <f>COUNTIFS(veri!H:H,12,veri!I:I,"&gt;=900",veri!I:I,"&lt;1000")</f>
        <v>0</v>
      </c>
      <c r="D12" s="116">
        <f>COUNTIFS(veri!H:H,13,veri!I:I,"&gt;=900",veri!I:I,"&lt;1000")</f>
        <v>0</v>
      </c>
      <c r="E12" s="116">
        <f>COUNTIFS(veri!H:H,14,veri!I:I,"&gt;=900",veri!I:I,"&lt;1000")</f>
        <v>0</v>
      </c>
      <c r="F12" s="116">
        <f>COUNTIFS(veri!H:H,15,veri!I:I,"&gt;=900",veri!I:I,"&lt;1000")</f>
        <v>0</v>
      </c>
      <c r="G12" s="116">
        <f>COUNTIFS(veri!H:H,16,veri!I:I,"&gt;=900",veri!I:I,"&lt;1000")</f>
        <v>0</v>
      </c>
      <c r="H12" s="116">
        <f>COUNTIFS(veri!H:H,17,veri!I:I,"&gt;=900",veri!I:I,"&lt;1000")</f>
        <v>0</v>
      </c>
      <c r="I12" s="116">
        <f>COUNTIFS(veri!H:H,18,veri!I:I,"&gt;=900",veri!I:I,"&lt;1000")</f>
        <v>0</v>
      </c>
      <c r="J12" s="116">
        <f>COUNTIFS(veri!H:H,19,veri!I:I,"&gt;=900",veri!I:I,"&lt;1000")</f>
        <v>0</v>
      </c>
      <c r="K12" s="116">
        <f>COUNTIFS(veri!H:H,20,veri!I:I,"&gt;=900",veri!I:I,"&lt;1000")</f>
        <v>0</v>
      </c>
      <c r="L12" s="116">
        <f>COUNTIFS(veri!H:H,21,veri!I:I,"&gt;=900",veri!I:I,"&lt;1000")</f>
        <v>0</v>
      </c>
      <c r="M12" s="116">
        <f>COUNTIFS(veri!H:H,22,veri!I:I,"&gt;=900",veri!I:I,"&lt;1000")</f>
        <v>0</v>
      </c>
      <c r="N12" s="116">
        <f>COUNTIFS(veri!H:H,31,veri!I:I,"&gt;=900",veri!I:I,"&lt;1000")</f>
        <v>0</v>
      </c>
      <c r="O12" s="116">
        <f>COUNTIFS(veri!H:H,32,veri!I:I,"&gt;=900",veri!I:I,"&lt;1000")</f>
        <v>0</v>
      </c>
      <c r="P12" s="116">
        <f>COUNTIFS(veri!H:H,33,veri!I:I,"&gt;=900",veri!I:I,"&lt;1000")</f>
        <v>0</v>
      </c>
      <c r="Q12" s="116">
        <f>COUNTIFS(veri!H:H,34,veri!I:I,"&gt;=900",veri!I:I,"&lt;1000")</f>
        <v>0</v>
      </c>
      <c r="R12" s="116">
        <f>COUNTIFS(veri!H:H,35,veri!I:I,"&gt;=900",veri!I:I,"&lt;1000")</f>
        <v>0</v>
      </c>
      <c r="S12" s="116">
        <f>COUNTIFS(veri!H:H,36,veri!I:I,"&gt;=900",veri!I:I,"&lt;1000")</f>
        <v>0</v>
      </c>
      <c r="T12" s="116">
        <f>COUNTIFS(veri!H:H,37,veri!I:I,"&gt;=900",veri!I:I,"&lt;1000")</f>
        <v>0</v>
      </c>
      <c r="U12" s="116">
        <f>COUNTIFS(veri!H:H,38,veri!I:I,"&gt;=900",veri!I:I,"&lt;1000")</f>
        <v>0</v>
      </c>
      <c r="V12" s="116">
        <f>COUNTIFS(veri!H:H,39,veri!I:I,"&gt;=900",veri!I:I,"&lt;1000")</f>
        <v>0</v>
      </c>
      <c r="W12" s="116">
        <f>COUNTIFS(veri!H:H,40,veri!I:I,"&gt;=900",veri!I:I,"&lt;1000")</f>
        <v>0</v>
      </c>
      <c r="X12" s="116">
        <f>COUNTIFS(veri!H:H,41,veri!I:I,"&gt;=900",veri!I:I,"&lt;1000")</f>
        <v>0</v>
      </c>
      <c r="Y12" s="116">
        <f>COUNTIFS(veri!H:H,42,veri!I:I,"&gt;=900",veri!I:I,"&lt;1000")</f>
        <v>0</v>
      </c>
      <c r="Z12" s="121">
        <f t="shared" si="0"/>
        <v>0</v>
      </c>
      <c r="AA12" s="14"/>
      <c r="AB12" s="14"/>
      <c r="AC12" s="14"/>
      <c r="AD12" s="14"/>
      <c r="AE12" s="14"/>
      <c r="AF12" s="14"/>
      <c r="AG12" s="14"/>
      <c r="AH12" s="14"/>
    </row>
    <row r="13" spans="1:34" ht="12.75" customHeight="1" x14ac:dyDescent="0.15">
      <c r="A13" s="122" t="s">
        <v>683</v>
      </c>
      <c r="B13" s="123">
        <f>COUNTIFS(veri!H:H,11,veri!I:I,"&gt;=1000",veri!I:I,"&lt;1100")</f>
        <v>0</v>
      </c>
      <c r="C13" s="123">
        <f>COUNTIFS(veri!H:H,12,veri!I:I,"&gt;=1000",veri!I:I,"&lt;1100")</f>
        <v>0</v>
      </c>
      <c r="D13" s="123">
        <f>COUNTIFS(veri!H:H,13,veri!I:I,"&gt;=1000",veri!I:I,"&lt;1100")</f>
        <v>0</v>
      </c>
      <c r="E13" s="123">
        <f>COUNTIFS(veri!H:H,14,veri!I:I,"&gt;=1000",veri!I:I,"&lt;1100")</f>
        <v>0</v>
      </c>
      <c r="F13" s="123">
        <f>COUNTIFS(veri!H:H,15,veri!I:I,"&gt;=1000",veri!I:I,"&lt;1100")</f>
        <v>0</v>
      </c>
      <c r="G13" s="123">
        <f>COUNTIFS(veri!H:H,16,veri!I:I,"&gt;=1000",veri!I:I,"&lt;1100")</f>
        <v>0</v>
      </c>
      <c r="H13" s="123">
        <f>COUNTIFS(veri!H:H,17,veri!I:I,"&gt;=1000",veri!I:I,"&lt;1100")</f>
        <v>0</v>
      </c>
      <c r="I13" s="123">
        <f>COUNTIFS(veri!H:H,18,veri!I:I,"&gt;=1000",veri!I:I,"&lt;1100")</f>
        <v>0</v>
      </c>
      <c r="J13" s="123">
        <f>COUNTIFS(veri!H:H,19,veri!I:I,"&gt;=1000",veri!I:I,"&lt;1100")</f>
        <v>0</v>
      </c>
      <c r="K13" s="123">
        <f>COUNTIFS(veri!H:H,20,veri!I:I,"&gt;=1000",veri!I:I,"&lt;1100")</f>
        <v>0</v>
      </c>
      <c r="L13" s="123">
        <f>COUNTIFS(veri!H:H,21,veri!I:I,"&gt;=1000",veri!I:I,"&lt;1100")</f>
        <v>0</v>
      </c>
      <c r="M13" s="123">
        <f>COUNTIFS(veri!H:H,22,veri!I:I,"&gt;=1000",veri!I:I,"&lt;1100")</f>
        <v>0</v>
      </c>
      <c r="N13" s="123">
        <f>COUNTIFS(veri!H:H,31,veri!I:I,"&gt;=1000",veri!I:I,"&lt;1100")</f>
        <v>0</v>
      </c>
      <c r="O13" s="123">
        <f>COUNTIFS(veri!H:H,32,veri!I:I,"&gt;=1000",veri!I:I,"&lt;1100")</f>
        <v>0</v>
      </c>
      <c r="P13" s="123">
        <f>COUNTIFS(veri!H:H,33,veri!I:I,"&gt;=1000",veri!I:I,"&lt;1100")</f>
        <v>0</v>
      </c>
      <c r="Q13" s="123">
        <f>COUNTIFS(veri!H:H,34,veri!I:I,"&gt;=1000",veri!I:I,"&lt;1100")</f>
        <v>0</v>
      </c>
      <c r="R13" s="123">
        <f>COUNTIFS(veri!H:H,35,veri!I:I,"&gt;=1000",veri!I:I,"&lt;1100")</f>
        <v>0</v>
      </c>
      <c r="S13" s="123">
        <f>COUNTIFS(veri!H:H,36,veri!I:I,"&gt;=1000",veri!I:I,"&lt;1100")</f>
        <v>0</v>
      </c>
      <c r="T13" s="123">
        <f>COUNTIFS(veri!H:H,37,veri!I:I,"&gt;=1000",veri!I:I,"&lt;1100")</f>
        <v>0</v>
      </c>
      <c r="U13" s="123">
        <f>COUNTIFS(veri!H:H,38,veri!I:I,"&gt;=1000",veri!I:I,"&lt;1100")</f>
        <v>0</v>
      </c>
      <c r="V13" s="123">
        <f>COUNTIFS(veri!H:H,39,veri!I:I,"&gt;=1000",veri!I:I,"&lt;1100")</f>
        <v>0</v>
      </c>
      <c r="W13" s="123">
        <f>COUNTIFS(veri!H:H,40,veri!I:I,"&gt;=1000",veri!I:I,"&lt;1100")</f>
        <v>0</v>
      </c>
      <c r="X13" s="123">
        <f>COUNTIFS(veri!H:H,41,veri!I:I,"&gt;=1000",veri!I:I,"&lt;1100")</f>
        <v>0</v>
      </c>
      <c r="Y13" s="123">
        <f>COUNTIFS(veri!H:H,42,veri!I:I,"&gt;=1000",veri!I:I,"&lt;1100")</f>
        <v>0</v>
      </c>
      <c r="Z13" s="121">
        <f t="shared" si="0"/>
        <v>0</v>
      </c>
      <c r="AA13" s="14"/>
      <c r="AB13" s="14"/>
      <c r="AC13" s="14"/>
      <c r="AD13" s="14"/>
      <c r="AE13" s="14"/>
      <c r="AF13" s="14"/>
      <c r="AG13" s="14"/>
      <c r="AH13" s="14"/>
    </row>
    <row r="14" spans="1:34" ht="12.75" customHeight="1" x14ac:dyDescent="0.15">
      <c r="A14" s="120" t="s">
        <v>684</v>
      </c>
      <c r="B14" s="116">
        <f>COUNTIFS(veri!H:H,11,veri!I:I,"&gt;=1100",veri!I:I,"&lt;1200")</f>
        <v>0</v>
      </c>
      <c r="C14" s="116">
        <f>COUNTIFS(veri!H:H,12,veri!I:I,"&gt;=1100",veri!I:I,"&lt;1200")</f>
        <v>0</v>
      </c>
      <c r="D14" s="116">
        <f>COUNTIFS(veri!H:H,13,veri!I:I,"&gt;=1100",veri!I:I,"&lt;1200")</f>
        <v>0</v>
      </c>
      <c r="E14" s="116">
        <f>COUNTIFS(veri!H:H,14,veri!I:I,"&gt;=1100",veri!I:I,"&lt;1200")</f>
        <v>0</v>
      </c>
      <c r="F14" s="116">
        <f>COUNTIFS(veri!H:H,15,veri!I:I,"&gt;=1100",veri!I:I,"&lt;1200")</f>
        <v>0</v>
      </c>
      <c r="G14" s="116">
        <f>COUNTIFS(veri!H:H,16,veri!I:I,"&gt;=1100",veri!I:I,"&lt;1200")</f>
        <v>0</v>
      </c>
      <c r="H14" s="116">
        <f>COUNTIFS(veri!H:H,17,veri!I:I,"&gt;=1100",veri!I:I,"&lt;1200")</f>
        <v>0</v>
      </c>
      <c r="I14" s="116">
        <f>COUNTIFS(veri!H:H,18,veri!I:I,"&gt;=1100",veri!I:I,"&lt;1200")</f>
        <v>0</v>
      </c>
      <c r="J14" s="116">
        <f>COUNTIFS(veri!H:H,19,veri!I:I,"&gt;=1100",veri!I:I,"&lt;1200")</f>
        <v>0</v>
      </c>
      <c r="K14" s="116">
        <f>COUNTIFS(veri!H:H,20,veri!I:I,"&gt;=1100",veri!I:I,"&lt;1200")</f>
        <v>0</v>
      </c>
      <c r="L14" s="116">
        <f>COUNTIFS(veri!H:H,21,veri!I:I,"&gt;=1100",veri!I:I,"&lt;1200")</f>
        <v>0</v>
      </c>
      <c r="M14" s="116">
        <f>COUNTIFS(veri!H:H,22,veri!I:I,"&gt;=1100",veri!I:I,"&lt;1200")</f>
        <v>0</v>
      </c>
      <c r="N14" s="116">
        <f>COUNTIFS(veri!H:H,31,veri!I:I,"&gt;=1100",veri!I:I,"&lt;1200")</f>
        <v>0</v>
      </c>
      <c r="O14" s="116">
        <f>COUNTIFS(veri!H:H,32,veri!I:I,"&gt;=1100",veri!I:I,"&lt;1200")</f>
        <v>2</v>
      </c>
      <c r="P14" s="116">
        <f>COUNTIFS(veri!H:H,33,veri!I:I,"&gt;=1100",veri!I:I,"&lt;1200")</f>
        <v>0</v>
      </c>
      <c r="Q14" s="116">
        <f>COUNTIFS(veri!H:H,34,veri!I:I,"&gt;=1100",veri!I:I,"&lt;1200")</f>
        <v>0</v>
      </c>
      <c r="R14" s="116">
        <f>COUNTIFS(veri!H:H,35,veri!I:I,"&gt;=1100",veri!I:I,"&lt;1200")</f>
        <v>0</v>
      </c>
      <c r="S14" s="116">
        <f>COUNTIFS(veri!H:H,36,veri!I:I,"&gt;=1100",veri!I:I,"&lt;1200")</f>
        <v>0</v>
      </c>
      <c r="T14" s="116">
        <f>COUNTIFS(veri!H:H,37,veri!I:I,"&gt;=1100",veri!I:I,"&lt;1200")</f>
        <v>0</v>
      </c>
      <c r="U14" s="116">
        <f>COUNTIFS(veri!H:H,38,veri!I:I,"&gt;=1100",veri!I:I,"&lt;1200")</f>
        <v>0</v>
      </c>
      <c r="V14" s="116">
        <f>COUNTIFS(veri!H:H,39,veri!I:I,"&gt;=1100",veri!I:I,"&lt;1200")</f>
        <v>0</v>
      </c>
      <c r="W14" s="116">
        <f>COUNTIFS(veri!H:H,40,veri!I:I,"&gt;=1100",veri!I:I,"&lt;1200")</f>
        <v>0</v>
      </c>
      <c r="X14" s="116">
        <f>COUNTIFS(veri!H:H,41,veri!I:I,"&gt;=1100",veri!I:I,"&lt;1200")</f>
        <v>0</v>
      </c>
      <c r="Y14" s="116">
        <f>COUNTIFS(veri!H:H,42,veri!I:I,"&gt;=1100",veri!I:I,"&lt;1200")</f>
        <v>0</v>
      </c>
      <c r="Z14" s="121">
        <f t="shared" si="0"/>
        <v>2</v>
      </c>
      <c r="AA14" s="14"/>
      <c r="AB14" s="14"/>
      <c r="AC14" s="14"/>
      <c r="AD14" s="14"/>
      <c r="AE14" s="14"/>
      <c r="AF14" s="14"/>
      <c r="AG14" s="14"/>
      <c r="AH14" s="14"/>
    </row>
    <row r="15" spans="1:34" ht="12.75" customHeight="1" x14ac:dyDescent="0.15">
      <c r="A15" s="122" t="s">
        <v>685</v>
      </c>
      <c r="B15" s="123">
        <f>COUNTIFS(veri!H:H,11,veri!I:I,"&gt;=1200",veri!I:I,"&lt;1300")</f>
        <v>0</v>
      </c>
      <c r="C15" s="123">
        <f>COUNTIFS(veri!H:H,12,veri!I:I,"&gt;=1200",veri!I:I,"&lt;1300")</f>
        <v>0</v>
      </c>
      <c r="D15" s="123">
        <f>COUNTIFS(veri!H:H,13,veri!I:I,"&gt;=1200",veri!I:I,"&lt;1300")</f>
        <v>0</v>
      </c>
      <c r="E15" s="123">
        <f>COUNTIFS(veri!H:H,14,veri!I:I,"&gt;=1200",veri!I:I,"&lt;1300")</f>
        <v>0</v>
      </c>
      <c r="F15" s="123">
        <f>COUNTIFS(veri!H:H,15,veri!I:I,"&gt;=1200",veri!I:I,"&lt;1300")</f>
        <v>0</v>
      </c>
      <c r="G15" s="123">
        <f>COUNTIFS(veri!H:H,16,veri!I:I,"&gt;=1200",veri!I:I,"&lt;1300")</f>
        <v>0</v>
      </c>
      <c r="H15" s="123">
        <f>COUNTIFS(veri!H:H,17,veri!I:I,"&gt;=1200",veri!I:I,"&lt;1300")</f>
        <v>0</v>
      </c>
      <c r="I15" s="123">
        <f>COUNTIFS(veri!H:H,18,veri!I:I,"&gt;=1200",veri!I:I,"&lt;1300")</f>
        <v>0</v>
      </c>
      <c r="J15" s="123">
        <f>COUNTIFS(veri!H:H,19,veri!I:I,"&gt;=1200",veri!I:I,"&lt;1300")</f>
        <v>0</v>
      </c>
      <c r="K15" s="123">
        <f>COUNTIFS(veri!H:H,20,veri!I:I,"&gt;=1200",veri!I:I,"&lt;1300")</f>
        <v>0</v>
      </c>
      <c r="L15" s="123">
        <f>COUNTIFS(veri!H:H,21,veri!I:I,"&gt;=1200",veri!I:I,"&lt;1300")</f>
        <v>0</v>
      </c>
      <c r="M15" s="123">
        <f>COUNTIFS(veri!H:H,22,veri!I:I,"&gt;=1200",veri!I:I,"&lt;1300")</f>
        <v>0</v>
      </c>
      <c r="N15" s="123">
        <f>COUNTIFS(veri!H:H,31,veri!I:I,"&gt;=1200",veri!I:I,"&lt;1300")</f>
        <v>0</v>
      </c>
      <c r="O15" s="123">
        <f>COUNTIFS(veri!H:H,32,veri!I:I,"&gt;=1200",veri!I:I,"&lt;1300")</f>
        <v>0</v>
      </c>
      <c r="P15" s="123">
        <f>COUNTIFS(veri!H:H,33,veri!I:I,"&gt;=1200",veri!I:I,"&lt;1300")</f>
        <v>0</v>
      </c>
      <c r="Q15" s="123">
        <f>COUNTIFS(veri!H:H,34,veri!I:I,"&gt;=1200",veri!I:I,"&lt;1300")</f>
        <v>0</v>
      </c>
      <c r="R15" s="123">
        <f>COUNTIFS(veri!H:H,35,veri!I:I,"&gt;=1200",veri!I:I,"&lt;1300")</f>
        <v>0</v>
      </c>
      <c r="S15" s="123">
        <f>COUNTIFS(veri!H:H,36,veri!I:I,"&gt;=1200",veri!I:I,"&lt;1300")</f>
        <v>0</v>
      </c>
      <c r="T15" s="123">
        <f>COUNTIFS(veri!H:H,37,veri!I:I,"&gt;=1200",veri!I:I,"&lt;1300")</f>
        <v>0</v>
      </c>
      <c r="U15" s="123">
        <f>COUNTIFS(veri!H:H,38,veri!I:I,"&gt;=1200",veri!I:I,"&lt;1300")</f>
        <v>0</v>
      </c>
      <c r="V15" s="123">
        <f>COUNTIFS(veri!H:H,39,veri!I:I,"&gt;=1200",veri!I:I,"&lt;1300")</f>
        <v>0</v>
      </c>
      <c r="W15" s="123">
        <f>COUNTIFS(veri!H:H,40,veri!I:I,"&gt;=1200",veri!I:I,"&lt;1300")</f>
        <v>0</v>
      </c>
      <c r="X15" s="123">
        <f>COUNTIFS(veri!H:H,41,veri!I:I,"&gt;=1200",veri!I:I,"&lt;1300")</f>
        <v>0</v>
      </c>
      <c r="Y15" s="123">
        <f>COUNTIFS(veri!H:H,42,veri!I:I,"&gt;=1200",veri!I:I,"&lt;1300")</f>
        <v>0</v>
      </c>
      <c r="Z15" s="121">
        <f t="shared" si="0"/>
        <v>0</v>
      </c>
      <c r="AA15" s="14"/>
      <c r="AB15" s="14"/>
      <c r="AC15" s="14"/>
      <c r="AD15" s="14"/>
      <c r="AE15" s="14"/>
      <c r="AF15" s="14"/>
      <c r="AG15" s="14"/>
      <c r="AH15" s="14"/>
    </row>
    <row r="16" spans="1:34" ht="12.75" customHeight="1" x14ac:dyDescent="0.15">
      <c r="A16" s="120" t="s">
        <v>686</v>
      </c>
      <c r="B16" s="116">
        <f>COUNTIFS(veri!H:H,11,veri!I:I,"&gt;=1300",veri!I:I,"&lt;1400")</f>
        <v>0</v>
      </c>
      <c r="C16" s="116">
        <f>COUNTIFS(veri!H:H,12,veri!I:I,"&gt;=1300",veri!I:I,"&lt;1400")</f>
        <v>0</v>
      </c>
      <c r="D16" s="116">
        <f>COUNTIFS(veri!H:H,13,veri!I:I,"&gt;=1300",veri!I:I,"&lt;1400")</f>
        <v>0</v>
      </c>
      <c r="E16" s="116">
        <f>COUNTIFS(veri!H:H,14,veri!I:I,"&gt;=1300",veri!I:I,"&lt;1400")</f>
        <v>0</v>
      </c>
      <c r="F16" s="116">
        <f>COUNTIFS(veri!H:H,15,veri!I:I,"&gt;=1300",veri!I:I,"&lt;1400")</f>
        <v>0</v>
      </c>
      <c r="G16" s="116">
        <f>COUNTIFS(veri!H:H,16,veri!I:I,"&gt;=1300",veri!I:I,"&lt;1400")</f>
        <v>0</v>
      </c>
      <c r="H16" s="116">
        <f>COUNTIFS(veri!H:H,17,veri!I:I,"&gt;=1300",veri!I:I,"&lt;1400")</f>
        <v>0</v>
      </c>
      <c r="I16" s="116">
        <f>COUNTIFS(veri!H:H,18,veri!I:I,"&gt;=1300",veri!I:I,"&lt;1400")</f>
        <v>0</v>
      </c>
      <c r="J16" s="116">
        <f>COUNTIFS(veri!H:H,19,veri!I:I,"&gt;=1300",veri!I:I,"&lt;1400")</f>
        <v>0</v>
      </c>
      <c r="K16" s="116">
        <f>COUNTIFS(veri!H:H,20,veri!I:I,"&gt;=1300",veri!I:I,"&lt;1400")</f>
        <v>0</v>
      </c>
      <c r="L16" s="116">
        <f>COUNTIFS(veri!H:H,21,veri!I:I,"&gt;=1300",veri!I:I,"&lt;1400")</f>
        <v>0</v>
      </c>
      <c r="M16" s="116">
        <f>COUNTIFS(veri!H:H,22,veri!I:I,"&gt;=1300",veri!I:I,"&lt;1400")</f>
        <v>0</v>
      </c>
      <c r="N16" s="116">
        <f>COUNTIFS(veri!H:H,31,veri!I:I,"&gt;=1300",veri!I:I,"&lt;1400")</f>
        <v>0</v>
      </c>
      <c r="O16" s="116">
        <f>COUNTIFS(veri!H:H,32,veri!I:I,"&gt;=1300",veri!I:I,"&lt;1400")</f>
        <v>0</v>
      </c>
      <c r="P16" s="116">
        <f>COUNTIFS(veri!H:H,33,veri!I:I,"&gt;=1300",veri!I:I,"&lt;1400")</f>
        <v>0</v>
      </c>
      <c r="Q16" s="116">
        <f>COUNTIFS(veri!H:H,34,veri!I:I,"&gt;=1300",veri!I:I,"&lt;1400")</f>
        <v>0</v>
      </c>
      <c r="R16" s="116">
        <f>COUNTIFS(veri!H:H,35,veri!I:I,"&gt;=1300",veri!I:I,"&lt;1400")</f>
        <v>0</v>
      </c>
      <c r="S16" s="116">
        <f>COUNTIFS(veri!H:H,36,veri!I:I,"&gt;=1300",veri!I:I,"&lt;1400")</f>
        <v>0</v>
      </c>
      <c r="T16" s="116">
        <f>COUNTIFS(veri!H:H,37,veri!I:I,"&gt;=1300",veri!I:I,"&lt;1400")</f>
        <v>0</v>
      </c>
      <c r="U16" s="116">
        <f>COUNTIFS(veri!H:H,38,veri!I:I,"&gt;=1300",veri!I:I,"&lt;1400")</f>
        <v>0</v>
      </c>
      <c r="V16" s="116">
        <f>COUNTIFS(veri!H:H,39,veri!I:I,"&gt;=1300",veri!I:I,"&lt;1400")</f>
        <v>0</v>
      </c>
      <c r="W16" s="116">
        <f>COUNTIFS(veri!H:H,40,veri!I:I,"&gt;=1300",veri!I:I,"&lt;1400")</f>
        <v>0</v>
      </c>
      <c r="X16" s="116">
        <f>COUNTIFS(veri!H:H,41,veri!I:I,"&gt;=1300",veri!I:I,"&lt;1400")</f>
        <v>0</v>
      </c>
      <c r="Y16" s="116">
        <f>COUNTIFS(veri!H:H,42,veri!I:I,"&gt;=1300",veri!I:I,"&lt;1400")</f>
        <v>0</v>
      </c>
      <c r="Z16" s="121">
        <f t="shared" si="0"/>
        <v>0</v>
      </c>
      <c r="AA16" s="14"/>
      <c r="AB16" s="14"/>
      <c r="AC16" s="14"/>
      <c r="AD16" s="14"/>
      <c r="AE16" s="14"/>
      <c r="AF16" s="14"/>
      <c r="AG16" s="14"/>
      <c r="AH16" s="14"/>
    </row>
    <row r="17" spans="1:34" ht="12.75" customHeight="1" x14ac:dyDescent="0.15">
      <c r="A17" s="122" t="s">
        <v>687</v>
      </c>
      <c r="B17" s="123">
        <f>COUNTIFS(veri!H:H,11,veri!I:I,"&gt;=1400",veri!I:I,"&lt;1500")</f>
        <v>0</v>
      </c>
      <c r="C17" s="123">
        <f>COUNTIFS(veri!H:H,12,veri!I:I,"&gt;=1400",veri!I:I,"&lt;1500")</f>
        <v>0</v>
      </c>
      <c r="D17" s="123">
        <f>COUNTIFS(veri!H:H,13,veri!I:I,"&gt;=1400",veri!I:I,"&lt;1500")</f>
        <v>0</v>
      </c>
      <c r="E17" s="123">
        <f>COUNTIFS(veri!H:H,14,veri!I:I,"&gt;=1400",veri!I:I,"&lt;1500")</f>
        <v>0</v>
      </c>
      <c r="F17" s="123">
        <f>COUNTIFS(veri!H:H,15,veri!I:I,"&gt;=1400",veri!I:I,"&lt;1500")</f>
        <v>0</v>
      </c>
      <c r="G17" s="123">
        <f>COUNTIFS(veri!H:H,16,veri!I:I,"&gt;=1400",veri!I:I,"&lt;1500")</f>
        <v>0</v>
      </c>
      <c r="H17" s="123">
        <f>COUNTIFS(veri!H:H,17,veri!I:I,"&gt;=1400",veri!I:I,"&lt;1500")</f>
        <v>0</v>
      </c>
      <c r="I17" s="123">
        <f>COUNTIFS(veri!H:H,18,veri!I:I,"&gt;=1400",veri!I:I,"&lt;1500")</f>
        <v>0</v>
      </c>
      <c r="J17" s="123">
        <f>COUNTIFS(veri!H:H,19,veri!I:I,"&gt;=1400",veri!I:I,"&lt;1500")</f>
        <v>0</v>
      </c>
      <c r="K17" s="123">
        <f>COUNTIFS(veri!H:H,20,veri!I:I,"&gt;=1400",veri!I:I,"&lt;1500")</f>
        <v>0</v>
      </c>
      <c r="L17" s="123">
        <f>COUNTIFS(veri!H:H,21,veri!I:I,"&gt;=1400",veri!I:I,"&lt;1500")</f>
        <v>0</v>
      </c>
      <c r="M17" s="123">
        <f>COUNTIFS(veri!H:H,22,veri!I:I,"&gt;=1400",veri!I:I,"&lt;1500")</f>
        <v>0</v>
      </c>
      <c r="N17" s="123">
        <f>COUNTIFS(veri!H:H,31,veri!I:I,"&gt;=1400",veri!I:I,"&lt;1500")</f>
        <v>0</v>
      </c>
      <c r="O17" s="123">
        <f>COUNTIFS(veri!H:H,32,veri!I:I,"&gt;=1400",veri!I:I,"&lt;1500")</f>
        <v>0</v>
      </c>
      <c r="P17" s="123">
        <f>COUNTIFS(veri!H:H,33,veri!I:I,"&gt;=1400",veri!I:I,"&lt;1500")</f>
        <v>0</v>
      </c>
      <c r="Q17" s="123">
        <f>COUNTIFS(veri!H:H,34,veri!I:I,"&gt;=1400",veri!I:I,"&lt;1500")</f>
        <v>0</v>
      </c>
      <c r="R17" s="123">
        <f>COUNTIFS(veri!H:H,35,veri!I:I,"&gt;=1400",veri!I:I,"&lt;1500")</f>
        <v>0</v>
      </c>
      <c r="S17" s="123">
        <f>COUNTIFS(veri!H:H,36,veri!I:I,"&gt;=1400",veri!I:I,"&lt;1500")</f>
        <v>0</v>
      </c>
      <c r="T17" s="123">
        <f>COUNTIFS(veri!H:H,37,veri!I:I,"&gt;=1400",veri!I:I,"&lt;1500")</f>
        <v>0</v>
      </c>
      <c r="U17" s="123">
        <f>COUNTIFS(veri!H:H,38,veri!I:I,"&gt;=1400",veri!I:I,"&lt;1500")</f>
        <v>0</v>
      </c>
      <c r="V17" s="123">
        <f>COUNTIFS(veri!H:H,39,veri!I:I,"&gt;=1400",veri!I:I,"&lt;1500")</f>
        <v>0</v>
      </c>
      <c r="W17" s="123">
        <f>COUNTIFS(veri!H:H,40,veri!I:I,"&gt;=1400",veri!I:I,"&lt;1500")</f>
        <v>0</v>
      </c>
      <c r="X17" s="123">
        <f>COUNTIFS(veri!H:H,41,veri!I:I,"&gt;=1400",veri!I:I,"&lt;1500")</f>
        <v>0</v>
      </c>
      <c r="Y17" s="123">
        <f>COUNTIFS(veri!H:H,42,veri!I:I,"&gt;=1400",veri!I:I,"&lt;1500")</f>
        <v>0</v>
      </c>
      <c r="Z17" s="121">
        <f t="shared" si="0"/>
        <v>0</v>
      </c>
      <c r="AA17" s="14"/>
      <c r="AB17" s="14"/>
      <c r="AC17" s="14"/>
      <c r="AD17" s="14"/>
      <c r="AE17" s="14"/>
      <c r="AF17" s="14"/>
      <c r="AG17" s="14"/>
      <c r="AH17" s="14"/>
    </row>
    <row r="18" spans="1:34" ht="12.75" customHeight="1" x14ac:dyDescent="0.15">
      <c r="A18" s="120" t="s">
        <v>688</v>
      </c>
      <c r="B18" s="116">
        <f>COUNTIFS(veri!H:H,11,veri!I:I,"&gt;=1500",veri!I:I,"&lt;1600")</f>
        <v>0</v>
      </c>
      <c r="C18" s="116">
        <f>COUNTIFS(veri!H:H,12,veri!I:I,"&gt;=1500",veri!I:I,"&lt;1600")</f>
        <v>0</v>
      </c>
      <c r="D18" s="116">
        <f>COUNTIFS(veri!H:H,13,veri!I:I,"&gt;=1500",veri!I:I,"&lt;1600")</f>
        <v>0</v>
      </c>
      <c r="E18" s="116">
        <f>COUNTIFS(veri!H:H,14,veri!I:I,"&gt;=1500",veri!I:I,"&lt;1600")</f>
        <v>0</v>
      </c>
      <c r="F18" s="116">
        <f>COUNTIFS(veri!H:H,15,veri!I:I,"&gt;=1500",veri!I:I,"&lt;1600")</f>
        <v>0</v>
      </c>
      <c r="G18" s="116">
        <f>COUNTIFS(veri!H:H,16,veri!I:I,"&gt;=1500",veri!I:I,"&lt;1600")</f>
        <v>0</v>
      </c>
      <c r="H18" s="116">
        <f>COUNTIFS(veri!H:H,17,veri!I:I,"&gt;=1500",veri!I:I,"&lt;1600")</f>
        <v>0</v>
      </c>
      <c r="I18" s="116">
        <f>COUNTIFS(veri!H:H,18,veri!I:I,"&gt;=1500",veri!I:I,"&lt;1600")</f>
        <v>0</v>
      </c>
      <c r="J18" s="116">
        <f>COUNTIFS(veri!H:H,19,veri!I:I,"&gt;=1500",veri!I:I,"&lt;1600")</f>
        <v>0</v>
      </c>
      <c r="K18" s="116">
        <f>COUNTIFS(veri!H:H,20,veri!I:I,"&gt;=1500",veri!I:I,"&lt;1600")</f>
        <v>0</v>
      </c>
      <c r="L18" s="116">
        <f>COUNTIFS(veri!H:H,21,veri!I:I,"&gt;=1500",veri!I:I,"&lt;1600")</f>
        <v>0</v>
      </c>
      <c r="M18" s="116">
        <f>COUNTIFS(veri!H:H,22,veri!I:I,"&gt;=1500",veri!I:I,"&lt;1600")</f>
        <v>0</v>
      </c>
      <c r="N18" s="116">
        <f>COUNTIFS(veri!H:H,31,veri!I:I,"&gt;=1500",veri!I:I,"&lt;1600")</f>
        <v>0</v>
      </c>
      <c r="O18" s="116">
        <f>COUNTIFS(veri!H:H,32,veri!I:I,"&gt;=1500",veri!I:I,"&lt;1600")</f>
        <v>0</v>
      </c>
      <c r="P18" s="116">
        <f>COUNTIFS(veri!H:H,33,veri!I:I,"&gt;=1500",veri!I:I,"&lt;1600")</f>
        <v>0</v>
      </c>
      <c r="Q18" s="116">
        <f>COUNTIFS(veri!H:H,34,veri!I:I,"&gt;=1500",veri!I:I,"&lt;1600")</f>
        <v>0</v>
      </c>
      <c r="R18" s="116">
        <f>COUNTIFS(veri!H:H,35,veri!I:I,"&gt;=1500",veri!I:I,"&lt;1600")</f>
        <v>0</v>
      </c>
      <c r="S18" s="116">
        <f>COUNTIFS(veri!H:H,36,veri!I:I,"&gt;=1500",veri!I:I,"&lt;1600")</f>
        <v>0</v>
      </c>
      <c r="T18" s="116">
        <f>COUNTIFS(veri!H:H,37,veri!I:I,"&gt;=1500",veri!I:I,"&lt;1600")</f>
        <v>0</v>
      </c>
      <c r="U18" s="116">
        <f>COUNTIFS(veri!H:H,38,veri!I:I,"&gt;=1500",veri!I:I,"&lt;1600")</f>
        <v>0</v>
      </c>
      <c r="V18" s="116">
        <f>COUNTIFS(veri!H:H,39,veri!I:I,"&gt;=1500",veri!I:I,"&lt;1600")</f>
        <v>0</v>
      </c>
      <c r="W18" s="116">
        <f>COUNTIFS(veri!H:H,40,veri!I:I,"&gt;=1500",veri!I:I,"&lt;1600")</f>
        <v>0</v>
      </c>
      <c r="X18" s="116">
        <f>COUNTIFS(veri!H:H,41,veri!I:I,"&gt;=1500",veri!I:I,"&lt;1600")</f>
        <v>0</v>
      </c>
      <c r="Y18" s="116">
        <f>COUNTIFS(veri!H:H,42,veri!I:I,"&gt;=1500",veri!I:I,"&lt;1600")</f>
        <v>0</v>
      </c>
      <c r="Z18" s="121">
        <f t="shared" si="0"/>
        <v>0</v>
      </c>
      <c r="AA18" s="14"/>
      <c r="AB18" s="14"/>
      <c r="AC18" s="14"/>
      <c r="AD18" s="14"/>
      <c r="AE18" s="14"/>
      <c r="AF18" s="14"/>
      <c r="AG18" s="14"/>
      <c r="AH18" s="14"/>
    </row>
    <row r="19" spans="1:34" ht="12.75" customHeight="1" x14ac:dyDescent="0.15">
      <c r="A19" s="122" t="s">
        <v>689</v>
      </c>
      <c r="B19" s="124">
        <f>COUNTIFS(veri!H:H,11,veri!I:I,"&gt;=1600",veri!I:I,"&lt;1700")</f>
        <v>0</v>
      </c>
      <c r="C19" s="124">
        <f>COUNTIFS(veri!H:H,12,veri!I:I,"&gt;=1600",veri!I:I,"&lt;1700")</f>
        <v>0</v>
      </c>
      <c r="D19" s="124">
        <f>COUNTIFS(veri!H:H,13,veri!I:I,"&gt;=1600",veri!I:I,"&lt;1700")</f>
        <v>0</v>
      </c>
      <c r="E19" s="124">
        <f>COUNTIFS(veri!H:H,14,veri!I:I,"&gt;=1600",veri!I:I,"&lt;1700")</f>
        <v>0</v>
      </c>
      <c r="F19" s="124">
        <f>COUNTIFS(veri!H:H,15,veri!I:I,"&gt;=1600",veri!I:I,"&lt;1700")</f>
        <v>0</v>
      </c>
      <c r="G19" s="124">
        <f>COUNTIFS(veri!H:H,16,veri!I:I,"&gt;=1600",veri!I:I,"&lt;1700")</f>
        <v>0</v>
      </c>
      <c r="H19" s="124">
        <f>COUNTIFS(veri!H:H,17,veri!I:I,"&gt;=1600",veri!I:I,"&lt;1700")</f>
        <v>0</v>
      </c>
      <c r="I19" s="124">
        <f>COUNTIFS(veri!H:H,18,veri!I:I,"&gt;=1600",veri!I:I,"&lt;1700")</f>
        <v>0</v>
      </c>
      <c r="J19" s="124">
        <f>COUNTIFS(veri!H:H,19,veri!I:I,"&gt;=1600",veri!I:I,"&lt;1700")</f>
        <v>0</v>
      </c>
      <c r="K19" s="124">
        <f>COUNTIFS(veri!H:H,20,veri!I:I,"&gt;=1600",veri!I:I,"&lt;1700")</f>
        <v>0</v>
      </c>
      <c r="L19" s="124">
        <f>COUNTIFS(veri!H:H,21,veri!I:I,"&gt;=1600",veri!I:I,"&lt;1700")</f>
        <v>0</v>
      </c>
      <c r="M19" s="124">
        <f>COUNTIFS(veri!H:H,22,veri!I:I,"&gt;=1600",veri!I:I,"&lt;1700")</f>
        <v>0</v>
      </c>
      <c r="N19" s="123">
        <f>COUNTIFS(veri!H:H,31,veri!I:I,"&gt;=1600",veri!I:I,"&lt;1700")</f>
        <v>0</v>
      </c>
      <c r="O19" s="123">
        <f>COUNTIFS(veri!H:H,32,veri!I:I,"&gt;=1600",veri!I:I,"&lt;1700")</f>
        <v>0</v>
      </c>
      <c r="P19" s="123">
        <f>COUNTIFS(veri!H:H,33,veri!I:I,"&gt;=1600",veri!I:I,"&lt;1700")</f>
        <v>0</v>
      </c>
      <c r="Q19" s="123">
        <f>COUNTIFS(veri!H:H,34,veri!I:I,"&gt;=1600",veri!I:I,"&lt;1700")</f>
        <v>0</v>
      </c>
      <c r="R19" s="123">
        <f>COUNTIFS(veri!H:H,35,veri!I:I,"&gt;=1600",veri!I:I,"&lt;1700")</f>
        <v>0</v>
      </c>
      <c r="S19" s="123">
        <f>COUNTIFS(veri!H:H,36,veri!I:I,"&gt;=1600",veri!I:I,"&lt;1700")</f>
        <v>0</v>
      </c>
      <c r="T19" s="123">
        <f>COUNTIFS(veri!H:H,37,veri!I:I,"&gt;=1600",veri!I:I,"&lt;1700")</f>
        <v>0</v>
      </c>
      <c r="U19" s="123">
        <f>COUNTIFS(veri!H:H,38,veri!I:I,"&gt;=1600",veri!I:I,"&lt;1700")</f>
        <v>0</v>
      </c>
      <c r="V19" s="123">
        <f>COUNTIFS(veri!H:H,39,veri!I:I,"&gt;=1600",veri!I:I,"&lt;1700")</f>
        <v>0</v>
      </c>
      <c r="W19" s="123">
        <f>COUNTIFS(veri!H:H,40,veri!I:I,"&gt;=1600",veri!I:I,"&lt;1700")</f>
        <v>0</v>
      </c>
      <c r="X19" s="123">
        <f>COUNTIFS(veri!H:H,41,veri!I:I,"&gt;=1600",veri!I:I,"&lt;1700")</f>
        <v>0</v>
      </c>
      <c r="Y19" s="123">
        <f>COUNTIFS(veri!H:H,42,veri!I:I,"&gt;=1600",veri!I:I,"&lt;1700")</f>
        <v>0</v>
      </c>
      <c r="Z19" s="121">
        <f t="shared" si="0"/>
        <v>0</v>
      </c>
      <c r="AA19" s="14"/>
      <c r="AB19" s="14"/>
      <c r="AC19" s="14"/>
      <c r="AD19" s="14"/>
      <c r="AE19" s="14"/>
      <c r="AF19" s="14"/>
      <c r="AG19" s="14"/>
      <c r="AH19" s="14"/>
    </row>
    <row r="20" spans="1:34" ht="12.75" customHeight="1" x14ac:dyDescent="0.15">
      <c r="A20" s="120" t="s">
        <v>690</v>
      </c>
      <c r="B20" s="116">
        <f>COUNTIFS(veri!H:H,11,veri!I:I,"&gt;=1700",veri!I:I,"&lt;1800")</f>
        <v>0</v>
      </c>
      <c r="C20" s="116">
        <f>COUNTIFS(veri!H:H,12,veri!I:I,"&gt;=1700",veri!I:I,"&lt;1800")</f>
        <v>0</v>
      </c>
      <c r="D20" s="116">
        <f>COUNTIFS(veri!H:H,13,veri!I:I,"&gt;=1700",veri!I:I,"&lt;1800")</f>
        <v>0</v>
      </c>
      <c r="E20" s="116">
        <f>COUNTIFS(veri!H:H,14,veri!I:I,"&gt;=1700",veri!I:I,"&lt;1800")</f>
        <v>0</v>
      </c>
      <c r="F20" s="116">
        <f>COUNTIFS(veri!H:H,15,veri!I:I,"&gt;=1700",veri!I:I,"&lt;1800")</f>
        <v>0</v>
      </c>
      <c r="G20" s="116">
        <f>COUNTIFS(veri!H:H,16,veri!I:I,"&gt;=1700",veri!I:I,"&lt;1800")</f>
        <v>0</v>
      </c>
      <c r="H20" s="116">
        <f>COUNTIFS(veri!H:H,17,veri!I:I,"&gt;=1700",veri!I:I,"&lt;1800")</f>
        <v>0</v>
      </c>
      <c r="I20" s="116">
        <f>COUNTIFS(veri!H:H,18,veri!I:I,"&gt;=1700",veri!I:I,"&lt;1800")</f>
        <v>0</v>
      </c>
      <c r="J20" s="116">
        <f>COUNTIFS(veri!H:H,19,veri!I:I,"&gt;=1700",veri!I:I,"&lt;1800")</f>
        <v>0</v>
      </c>
      <c r="K20" s="116">
        <f>COUNTIFS(veri!H:H,20,veri!I:I,"&gt;=1700",veri!I:I,"&lt;1800")</f>
        <v>0</v>
      </c>
      <c r="L20" s="116">
        <f>COUNTIFS(veri!H:H,21,veri!I:I,"&gt;=1700",veri!I:I,"&lt;1800")</f>
        <v>0</v>
      </c>
      <c r="M20" s="116">
        <f>COUNTIFS(veri!H:H,22,veri!I:I,"&gt;=1700",veri!I:I,"&lt;1800")</f>
        <v>0</v>
      </c>
      <c r="N20" s="116">
        <f>COUNTIFS(veri!H:H,31,veri!I:I,"&gt;=1700",veri!I:I,"&lt;1800")</f>
        <v>0</v>
      </c>
      <c r="O20" s="116">
        <f>COUNTIFS(veri!H:H,32,veri!I:I,"&gt;=1700",veri!I:I,"&lt;1800")</f>
        <v>0</v>
      </c>
      <c r="P20" s="116">
        <f>COUNTIFS(veri!H:H,33,veri!I:I,"&gt;=1700",veri!I:I,"&lt;1800")</f>
        <v>0</v>
      </c>
      <c r="Q20" s="116">
        <f>COUNTIFS(veri!H:H,34,veri!I:I,"&gt;=1700",veri!I:I,"&lt;1800")</f>
        <v>0</v>
      </c>
      <c r="R20" s="116">
        <f>COUNTIFS(veri!H:H,35,veri!I:I,"&gt;=1700",veri!I:I,"&lt;1800")</f>
        <v>0</v>
      </c>
      <c r="S20" s="116">
        <f>COUNTIFS(veri!H:H,36,veri!I:I,"&gt;=1700",veri!I:I,"&lt;1800")</f>
        <v>0</v>
      </c>
      <c r="T20" s="116">
        <f>COUNTIFS(veri!H:H,37,veri!I:I,"&gt;=1700",veri!I:I,"&lt;1800")</f>
        <v>0</v>
      </c>
      <c r="U20" s="116">
        <f>COUNTIFS(veri!H:H,38,veri!I:I,"&gt;=1700",veri!I:I,"&lt;1800")</f>
        <v>0</v>
      </c>
      <c r="V20" s="116">
        <f>COUNTIFS(veri!H:H,39,veri!I:I,"&gt;=1700",veri!I:I,"&lt;1800")</f>
        <v>0</v>
      </c>
      <c r="W20" s="116">
        <f>COUNTIFS(veri!H:H,40,veri!I:I,"&gt;=1700",veri!I:I,"&lt;1800")</f>
        <v>0</v>
      </c>
      <c r="X20" s="116">
        <f>COUNTIFS(veri!H:H,41,veri!I:I,"&gt;=1700",veri!I:I,"&lt;1800")</f>
        <v>0</v>
      </c>
      <c r="Y20" s="116">
        <f>COUNTIFS(veri!H:H,42,veri!I:I,"&gt;=1700",veri!I:I,"&lt;1800")</f>
        <v>0</v>
      </c>
      <c r="Z20" s="121">
        <f t="shared" si="0"/>
        <v>0</v>
      </c>
      <c r="AA20" s="14"/>
      <c r="AB20" s="14"/>
      <c r="AC20" s="14"/>
      <c r="AD20" s="14"/>
      <c r="AE20" s="14"/>
      <c r="AF20" s="14"/>
      <c r="AG20" s="14"/>
      <c r="AH20" s="14"/>
    </row>
    <row r="21" spans="1:34" ht="12.75" customHeight="1" x14ac:dyDescent="0.15">
      <c r="A21" s="122" t="s">
        <v>691</v>
      </c>
      <c r="B21" s="123">
        <f>COUNTIFS(veri!H:H,11,veri!I:I,"&gt;=1800",veri!I:I,"&lt;1900")</f>
        <v>0</v>
      </c>
      <c r="C21" s="123">
        <f>COUNTIFS(veri!H:H,12,veri!I:I,"&gt;=1800",veri!I:I,"&lt;1900")</f>
        <v>0</v>
      </c>
      <c r="D21" s="123">
        <f>COUNTIFS(veri!H:H,13,veri!I:I,"&gt;=1800",veri!I:I,"&lt;1900")</f>
        <v>0</v>
      </c>
      <c r="E21" s="123">
        <f>COUNTIFS(veri!H:H,14,veri!I:I,"&gt;=1800",veri!I:I,"&lt;1900")</f>
        <v>0</v>
      </c>
      <c r="F21" s="123">
        <f>COUNTIFS(veri!H:H,15,veri!I:I,"&gt;=1800",veri!I:I,"&lt;1900")</f>
        <v>0</v>
      </c>
      <c r="G21" s="123">
        <f>COUNTIFS(veri!H:H,16,veri!I:I,"&gt;=1800",veri!I:I,"&lt;1900")</f>
        <v>0</v>
      </c>
      <c r="H21" s="123">
        <f>COUNTIFS(veri!H:H,17,veri!I:I,"&gt;=1800",veri!I:I,"&lt;1900")</f>
        <v>0</v>
      </c>
      <c r="I21" s="123">
        <f>COUNTIFS(veri!H:H,18,veri!I:I,"&gt;=1800",veri!I:I,"&lt;1900")</f>
        <v>0</v>
      </c>
      <c r="J21" s="123">
        <f>COUNTIFS(veri!H:H,19,veri!I:I,"&gt;=1800",veri!I:I,"&lt;1900")</f>
        <v>0</v>
      </c>
      <c r="K21" s="123">
        <f>COUNTIFS(veri!H:H,20,veri!I:I,"&gt;=1800",veri!I:I,"&lt;1900")</f>
        <v>0</v>
      </c>
      <c r="L21" s="123">
        <f>COUNTIFS(veri!H:H,21,veri!I:I,"&gt;=1800",veri!I:I,"&lt;1900")</f>
        <v>0</v>
      </c>
      <c r="M21" s="123">
        <f>COUNTIFS(veri!H:H,22,veri!I:I,"&gt;=1800",veri!I:I,"&lt;1900")</f>
        <v>0</v>
      </c>
      <c r="N21" s="123">
        <f>COUNTIFS(veri!H:H,31,veri!I:I,"&gt;=1800",veri!I:I,"&lt;1900")</f>
        <v>0</v>
      </c>
      <c r="O21" s="123">
        <f>COUNTIFS(veri!H:H,32,veri!I:I,"&gt;=1800",veri!I:I,"&lt;1900")</f>
        <v>0</v>
      </c>
      <c r="P21" s="123">
        <f>COUNTIFS(veri!H:H,33,veri!I:I,"&gt;=1800",veri!I:I,"&lt;1900")</f>
        <v>0</v>
      </c>
      <c r="Q21" s="123">
        <f>COUNTIFS(veri!H:H,34,veri!I:I,"&gt;=1800",veri!I:I,"&lt;1900")</f>
        <v>0</v>
      </c>
      <c r="R21" s="123">
        <f>COUNTIFS(veri!H:H,35,veri!I:I,"&gt;=1800",veri!I:I,"&lt;1900")</f>
        <v>0</v>
      </c>
      <c r="S21" s="123">
        <f>COUNTIFS(veri!H:H,36,veri!I:I,"&gt;=1800",veri!I:I,"&lt;1900")</f>
        <v>0</v>
      </c>
      <c r="T21" s="123">
        <f>COUNTIFS(veri!H:H,37,veri!I:I,"&gt;=1800",veri!I:I,"&lt;1900")</f>
        <v>0</v>
      </c>
      <c r="U21" s="123">
        <f>COUNTIFS(veri!H:H,38,veri!I:I,"&gt;=1800",veri!I:I,"&lt;1900")</f>
        <v>0</v>
      </c>
      <c r="V21" s="123">
        <f>COUNTIFS(veri!H:H,39,veri!I:I,"&gt;=1800",veri!I:I,"&lt;1900")</f>
        <v>0</v>
      </c>
      <c r="W21" s="123">
        <f>COUNTIFS(veri!H:H,40,veri!I:I,"&gt;=1800",veri!I:I,"&lt;1900")</f>
        <v>0</v>
      </c>
      <c r="X21" s="123">
        <f>COUNTIFS(veri!H:H,41,veri!I:I,"&gt;=1800",veri!I:I,"&lt;1900")</f>
        <v>0</v>
      </c>
      <c r="Y21" s="123">
        <f>COUNTIFS(veri!H:H,42,veri!I:I,"&gt;=1800",veri!I:I,"&lt;1900")</f>
        <v>0</v>
      </c>
      <c r="Z21" s="121">
        <f t="shared" si="0"/>
        <v>0</v>
      </c>
      <c r="AA21" s="14"/>
      <c r="AB21" s="14"/>
      <c r="AC21" s="14"/>
      <c r="AD21" s="14"/>
      <c r="AE21" s="14"/>
      <c r="AF21" s="14"/>
      <c r="AG21" s="14"/>
      <c r="AH21" s="14"/>
    </row>
    <row r="22" spans="1:34" ht="12.75" customHeight="1" x14ac:dyDescent="0.15">
      <c r="A22" s="120" t="s">
        <v>692</v>
      </c>
      <c r="B22" s="116">
        <f>COUNTIFS(veri!H:H,11,veri!I:I,"&gt;=1900",veri!I:I,"&lt;2100")</f>
        <v>0</v>
      </c>
      <c r="C22" s="116">
        <f>COUNTIFS(veri!H:H,12,veri!I:I,"&gt;=1900",veri!I:I,"&lt;2100")</f>
        <v>0</v>
      </c>
      <c r="D22" s="116">
        <f>COUNTIFS(veri!H:H,13,veri!I:I,"&gt;=1900",veri!I:I,"&lt;2100")</f>
        <v>0</v>
      </c>
      <c r="E22" s="116">
        <f>COUNTIFS(veri!H:H,14,veri!I:I,"&gt;=1900",veri!I:I,"&lt;2100")</f>
        <v>0</v>
      </c>
      <c r="F22" s="116">
        <f>COUNTIFS(veri!H:H,15,veri!I:I,"&gt;=1900",veri!I:I,"&lt;2100")</f>
        <v>0</v>
      </c>
      <c r="G22" s="116">
        <f>COUNTIFS(veri!H:H,16,veri!I:I,"&gt;=1900",veri!I:I,"&lt;2100")</f>
        <v>0</v>
      </c>
      <c r="H22" s="116">
        <f>COUNTIFS(veri!H:H,17,veri!I:I,"&gt;=1900",veri!I:I,"&lt;2100")</f>
        <v>0</v>
      </c>
      <c r="I22" s="116">
        <f>COUNTIFS(veri!H:H,18,veri!I:I,"&gt;=1900",veri!I:I,"&lt;2100")</f>
        <v>0</v>
      </c>
      <c r="J22" s="116">
        <f>COUNTIFS(veri!H:H,19,veri!I:I,"&gt;=1900",veri!I:I,"&lt;2100")</f>
        <v>0</v>
      </c>
      <c r="K22" s="116">
        <f>COUNTIFS(veri!H:H,20,veri!I:I,"&gt;=1900",veri!I:I,"&lt;2100")</f>
        <v>0</v>
      </c>
      <c r="L22" s="116">
        <f>COUNTIFS(veri!H:H,21,veri!I:I,"&gt;=1900",veri!I:I,"&lt;2100")</f>
        <v>0</v>
      </c>
      <c r="M22" s="116">
        <f>COUNTIFS(veri!H:H,22,veri!I:I,"&gt;=1900",veri!I:I,"&lt;2100")</f>
        <v>0</v>
      </c>
      <c r="N22" s="116">
        <f>COUNTIFS(veri!H:H,31,veri!I:I,"&gt;=1900",veri!I:I,"&lt;2100")</f>
        <v>0</v>
      </c>
      <c r="O22" s="116">
        <f>COUNTIFS(veri!H:H,32,veri!I:I,"&gt;=1900",veri!I:I,"&lt;2100")</f>
        <v>0</v>
      </c>
      <c r="P22" s="116">
        <f>COUNTIFS(veri!H:H,33,veri!I:I,"&gt;=1900",veri!I:I,"&lt;2100")</f>
        <v>0</v>
      </c>
      <c r="Q22" s="116">
        <f>COUNTIFS(veri!H:H,34,veri!I:I,"&gt;=1900",veri!I:I,"&lt;2100")</f>
        <v>0</v>
      </c>
      <c r="R22" s="116">
        <f>COUNTIFS(veri!H:H,35,veri!I:I,"&gt;=1900",veri!I:I,"&lt;2100")</f>
        <v>0</v>
      </c>
      <c r="S22" s="116">
        <f>COUNTIFS(veri!H:H,36,veri!I:I,"&gt;=1900",veri!I:I,"&lt;2100")</f>
        <v>0</v>
      </c>
      <c r="T22" s="116">
        <f>COUNTIFS(veri!H:H,37,veri!I:I,"&gt;=1900",veri!I:I,"&lt;2100")</f>
        <v>0</v>
      </c>
      <c r="U22" s="116">
        <f>COUNTIFS(veri!H:H,38,veri!I:I,"&gt;=1900",veri!I:I,"&lt;2100")</f>
        <v>0</v>
      </c>
      <c r="V22" s="116">
        <f>COUNTIFS(veri!H:H,39,veri!I:I,"&gt;=1900",veri!I:I,"&lt;2100")</f>
        <v>0</v>
      </c>
      <c r="W22" s="116">
        <f>COUNTIFS(veri!H:H,40,veri!I:I,"&gt;=1900",veri!I:I,"&lt;2100")</f>
        <v>0</v>
      </c>
      <c r="X22" s="116">
        <f>COUNTIFS(veri!H:H,41,veri!I:I,"&gt;=1900",veri!I:I,"&lt;2100")</f>
        <v>0</v>
      </c>
      <c r="Y22" s="116">
        <f>COUNTIFS(veri!H:H,42,veri!I:I,"&gt;=1900",veri!I:I,"&lt;2100")</f>
        <v>1</v>
      </c>
      <c r="Z22" s="121">
        <f t="shared" si="0"/>
        <v>1</v>
      </c>
      <c r="AA22" s="14"/>
      <c r="AB22" s="14"/>
      <c r="AC22" s="14"/>
      <c r="AD22" s="14"/>
      <c r="AE22" s="14"/>
      <c r="AF22" s="14"/>
      <c r="AG22" s="14"/>
      <c r="AH22" s="14"/>
    </row>
    <row r="23" spans="1:34" ht="12.75" customHeight="1" x14ac:dyDescent="0.15">
      <c r="A23" s="122" t="s">
        <v>113</v>
      </c>
      <c r="B23" s="123">
        <f t="shared" ref="B23:Z23" si="1">SUM(B4:B22)</f>
        <v>0</v>
      </c>
      <c r="C23" s="123">
        <f t="shared" si="1"/>
        <v>0</v>
      </c>
      <c r="D23" s="123">
        <f t="shared" si="1"/>
        <v>0</v>
      </c>
      <c r="E23" s="123">
        <f t="shared" si="1"/>
        <v>0</v>
      </c>
      <c r="F23" s="123">
        <f t="shared" si="1"/>
        <v>0</v>
      </c>
      <c r="G23" s="123">
        <f t="shared" si="1"/>
        <v>0</v>
      </c>
      <c r="H23" s="123">
        <f t="shared" si="1"/>
        <v>0</v>
      </c>
      <c r="I23" s="123">
        <f t="shared" si="1"/>
        <v>0</v>
      </c>
      <c r="J23" s="123">
        <f t="shared" si="1"/>
        <v>0</v>
      </c>
      <c r="K23" s="123">
        <f t="shared" si="1"/>
        <v>0</v>
      </c>
      <c r="L23" s="123">
        <f t="shared" si="1"/>
        <v>0</v>
      </c>
      <c r="M23" s="123">
        <f t="shared" si="1"/>
        <v>0</v>
      </c>
      <c r="N23" s="123">
        <f t="shared" si="1"/>
        <v>0</v>
      </c>
      <c r="O23" s="123">
        <f t="shared" si="1"/>
        <v>3</v>
      </c>
      <c r="P23" s="123">
        <f t="shared" si="1"/>
        <v>3</v>
      </c>
      <c r="Q23" s="123">
        <f t="shared" si="1"/>
        <v>0</v>
      </c>
      <c r="R23" s="123">
        <f t="shared" si="1"/>
        <v>1</v>
      </c>
      <c r="S23" s="123">
        <f t="shared" si="1"/>
        <v>0</v>
      </c>
      <c r="T23" s="123">
        <f t="shared" si="1"/>
        <v>0</v>
      </c>
      <c r="U23" s="123">
        <f t="shared" si="1"/>
        <v>0</v>
      </c>
      <c r="V23" s="123">
        <f t="shared" si="1"/>
        <v>0</v>
      </c>
      <c r="W23" s="123">
        <f t="shared" si="1"/>
        <v>0</v>
      </c>
      <c r="X23" s="123">
        <f t="shared" si="1"/>
        <v>1</v>
      </c>
      <c r="Y23" s="123">
        <f t="shared" si="1"/>
        <v>1</v>
      </c>
      <c r="Z23" s="121">
        <f t="shared" si="1"/>
        <v>9</v>
      </c>
      <c r="AA23" s="14"/>
      <c r="AB23" s="14"/>
      <c r="AC23" s="14"/>
      <c r="AD23" s="14"/>
      <c r="AE23" s="14"/>
      <c r="AF23" s="14"/>
      <c r="AG23" s="14"/>
      <c r="AH23" s="14"/>
    </row>
    <row r="24" spans="1:34" ht="12.75" customHeight="1" x14ac:dyDescent="0.15">
      <c r="A24" s="125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4"/>
      <c r="AB24" s="14"/>
      <c r="AC24" s="14"/>
      <c r="AD24" s="14"/>
      <c r="AE24" s="14"/>
      <c r="AF24" s="14"/>
      <c r="AG24" s="14"/>
      <c r="AH24" s="14"/>
    </row>
    <row r="25" spans="1:34" ht="12.75" customHeight="1" x14ac:dyDescent="0.1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ht="12.75" customHeight="1" x14ac:dyDescent="0.1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ht="12.75" customHeight="1" x14ac:dyDescent="0.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ht="12.75" customHeight="1" x14ac:dyDescent="0.1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ht="12.75" customHeight="1" x14ac:dyDescent="0.1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ht="12.75" customHeight="1" x14ac:dyDescent="0.1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 ht="12.75" customHeight="1" x14ac:dyDescent="0.1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ht="12.75" customHeight="1" x14ac:dyDescent="0.1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 ht="12.75" customHeight="1" x14ac:dyDescent="0.1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ht="12.75" customHeight="1" x14ac:dyDescent="0.1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 ht="12.75" customHeight="1" x14ac:dyDescent="0.1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ht="12.75" customHeight="1" x14ac:dyDescent="0.1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 ht="12.75" customHeight="1" x14ac:dyDescent="0.1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ht="12.75" customHeight="1" x14ac:dyDescent="0.1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ht="12.75" customHeight="1" x14ac:dyDescent="0.1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ht="12.75" customHeight="1" x14ac:dyDescent="0.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ht="12.75" customHeight="1" x14ac:dyDescent="0.1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ht="12.75" customHeight="1" x14ac:dyDescent="0.1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ht="12.75" customHeight="1" x14ac:dyDescent="0.1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ht="12.75" customHeight="1" x14ac:dyDescent="0.1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ht="12.75" customHeight="1" x14ac:dyDescent="0.1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ht="12.75" customHeight="1" x14ac:dyDescent="0.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ht="12.75" customHeight="1" x14ac:dyDescent="0.1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ht="12.75" customHeight="1" x14ac:dyDescent="0.1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ht="12.75" customHeight="1" x14ac:dyDescent="0.1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rintOptions horizontalCentered="1"/>
  <pageMargins left="1.1812499999999999" right="0.74791666666666701" top="1.95" bottom="0.98402777777777795" header="1.35" footer="0.511811023622047"/>
  <pageSetup paperSize="9" orientation="landscape" horizontalDpi="300" verticalDpi="300"/>
  <headerFooter>
    <oddHeader>&amp;C- GLİ, 2022 -_x005F_x000a_KAZA TÜRLERİNİN KAZA YERLERİNE GÖRE DAĞILIMI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99"/>
  <sheetViews>
    <sheetView zoomScaleNormal="100" workbookViewId="0">
      <pane xSplit="1" ySplit="3" topLeftCell="B12" activePane="bottomRight" state="frozen"/>
      <selection pane="topRight" activeCell="B1" sqref="B1"/>
      <selection pane="bottomLeft" activeCell="A12" sqref="A12"/>
      <selection pane="bottomRight" activeCell="D19" sqref="D19"/>
    </sheetView>
  </sheetViews>
  <sheetFormatPr baseColWidth="10" defaultColWidth="9" defaultRowHeight="13" x14ac:dyDescent="0.15"/>
  <cols>
    <col min="1" max="1" width="22" customWidth="1"/>
    <col min="2" max="10" width="10" style="3" customWidth="1"/>
    <col min="11" max="11" width="10" style="110" customWidth="1"/>
    <col min="12" max="12" width="10" style="126" customWidth="1"/>
    <col min="13" max="25" width="10" customWidth="1"/>
  </cols>
  <sheetData>
    <row r="1" spans="1:31" ht="10.5" customHeight="1" x14ac:dyDescent="0.15">
      <c r="A1" s="14"/>
      <c r="B1" s="13"/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 spans="1:31" ht="13.5" customHeight="1" x14ac:dyDescent="0.15">
      <c r="A2" s="117" t="s">
        <v>693</v>
      </c>
      <c r="B2" s="118" t="s">
        <v>47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9" t="s">
        <v>48</v>
      </c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4"/>
      <c r="AA2" s="14"/>
      <c r="AB2" s="14"/>
      <c r="AC2" s="14"/>
      <c r="AD2" s="14"/>
      <c r="AE2" s="14"/>
    </row>
    <row r="3" spans="1:31" ht="25.5" customHeight="1" x14ac:dyDescent="0.15">
      <c r="A3" s="117" t="s">
        <v>694</v>
      </c>
      <c r="B3" s="118" t="s">
        <v>650</v>
      </c>
      <c r="C3" s="118" t="s">
        <v>651</v>
      </c>
      <c r="D3" s="118" t="s">
        <v>652</v>
      </c>
      <c r="E3" s="118" t="s">
        <v>653</v>
      </c>
      <c r="F3" s="118" t="s">
        <v>654</v>
      </c>
      <c r="G3" s="118" t="s">
        <v>655</v>
      </c>
      <c r="H3" s="118" t="s">
        <v>656</v>
      </c>
      <c r="I3" s="118" t="s">
        <v>657</v>
      </c>
      <c r="J3" s="118" t="s">
        <v>658</v>
      </c>
      <c r="K3" s="118" t="s">
        <v>659</v>
      </c>
      <c r="L3" s="118" t="s">
        <v>660</v>
      </c>
      <c r="M3" s="118" t="s">
        <v>661</v>
      </c>
      <c r="N3" s="119" t="s">
        <v>662</v>
      </c>
      <c r="O3" s="119" t="s">
        <v>663</v>
      </c>
      <c r="P3" s="119" t="s">
        <v>664</v>
      </c>
      <c r="Q3" s="119" t="s">
        <v>665</v>
      </c>
      <c r="R3" s="119" t="s">
        <v>666</v>
      </c>
      <c r="S3" s="119" t="s">
        <v>667</v>
      </c>
      <c r="T3" s="119" t="s">
        <v>668</v>
      </c>
      <c r="U3" s="119" t="s">
        <v>669</v>
      </c>
      <c r="V3" s="119" t="s">
        <v>670</v>
      </c>
      <c r="W3" s="119" t="s">
        <v>671</v>
      </c>
      <c r="X3" s="119" t="s">
        <v>672</v>
      </c>
      <c r="Y3" s="119" t="s">
        <v>673</v>
      </c>
      <c r="Z3" s="117" t="s">
        <v>113</v>
      </c>
      <c r="AA3" s="14"/>
      <c r="AB3" s="14"/>
      <c r="AC3" s="14"/>
      <c r="AD3" s="14"/>
      <c r="AE3" s="14"/>
    </row>
    <row r="4" spans="1:31" ht="13.5" customHeight="1" x14ac:dyDescent="0.15">
      <c r="A4" s="120" t="s">
        <v>695</v>
      </c>
      <c r="B4" s="116">
        <f>COUNTIFS(veri!G:G,1,veri!H:H,11)</f>
        <v>0</v>
      </c>
      <c r="C4" s="116">
        <f>COUNTIFS(veri!G:G,1,veri!H:H,12)</f>
        <v>0</v>
      </c>
      <c r="D4" s="116">
        <f>COUNTIFS(veri!G:G,1,veri!H:H,13)</f>
        <v>0</v>
      </c>
      <c r="E4" s="116">
        <f>COUNTIFS(veri!G:G,1,veri!H:H,14)</f>
        <v>0</v>
      </c>
      <c r="F4" s="116">
        <f>COUNTIFS(veri!G:G,1,veri!H:H,15)</f>
        <v>0</v>
      </c>
      <c r="G4" s="116">
        <f>COUNTIFS(veri!G:G,1,veri!H:H,16)</f>
        <v>0</v>
      </c>
      <c r="H4" s="116">
        <f>COUNTIFS(veri!G:G,1,veri!H:H,17)</f>
        <v>0</v>
      </c>
      <c r="I4" s="116">
        <f>COUNTIFS(veri!G:G,1,veri!H:H,18)</f>
        <v>0</v>
      </c>
      <c r="J4" s="116">
        <f>COUNTIFS(veri!G:G,1,veri!H:H,19)</f>
        <v>0</v>
      </c>
      <c r="K4" s="116">
        <f>COUNTIFS(veri!G:G,1,veri!H:H,20)</f>
        <v>0</v>
      </c>
      <c r="L4" s="127">
        <f>COUNTIFS(veri!G:G,1,veri!H:H,21)</f>
        <v>0</v>
      </c>
      <c r="M4" s="116">
        <f>COUNTIFS(veri!G:G,1,veri!H:H,22)</f>
        <v>0</v>
      </c>
      <c r="N4" s="116">
        <f>COUNTIFS(veri!G:G,1,veri!H:H,31)</f>
        <v>0</v>
      </c>
      <c r="O4" s="116">
        <f>COUNTIFS(veri!G:G,1,veri!H:H,32)</f>
        <v>0</v>
      </c>
      <c r="P4" s="116">
        <f>COUNTIFS(veri!G:G,1,veri!H:H,33)</f>
        <v>0</v>
      </c>
      <c r="Q4" s="116">
        <f>COUNTIFS(veri!G:G,1,veri!H:H,34)</f>
        <v>0</v>
      </c>
      <c r="R4" s="116">
        <f>COUNTIFS(veri!G:G,1,veri!H:H,35)</f>
        <v>0</v>
      </c>
      <c r="S4" s="116">
        <f>COUNTIFS(veri!G:G,1,veri!H:H,36)</f>
        <v>0</v>
      </c>
      <c r="T4" s="116">
        <f>COUNTIFS(veri!G:G,1,veri!H:H,37)</f>
        <v>0</v>
      </c>
      <c r="U4" s="116">
        <f>COUNTIFS(veri!G:G,1,veri!H:H,38)</f>
        <v>0</v>
      </c>
      <c r="V4" s="116">
        <f>COUNTIFS(veri!G:G,1,veri!H:H,39)</f>
        <v>0</v>
      </c>
      <c r="W4" s="116">
        <f>COUNTIFS(veri!G:G,1,veri!H:H,40)</f>
        <v>0</v>
      </c>
      <c r="X4" s="116">
        <f>COUNTIFS(veri!G:G,1,veri!H:H,41)</f>
        <v>0</v>
      </c>
      <c r="Y4" s="116">
        <f>COUNTIFS(veri!G:G,1,veri!H:H,42)</f>
        <v>0</v>
      </c>
      <c r="Z4" s="121">
        <f t="shared" ref="Z4:Z35" si="0">SUM(B4:Y4)</f>
        <v>0</v>
      </c>
      <c r="AA4" s="14"/>
      <c r="AB4" s="14"/>
      <c r="AC4" s="14"/>
      <c r="AD4" s="14"/>
      <c r="AE4" s="14"/>
    </row>
    <row r="5" spans="1:31" ht="13.5" customHeight="1" x14ac:dyDescent="0.15">
      <c r="A5" s="122" t="s">
        <v>696</v>
      </c>
      <c r="B5" s="123">
        <f>COUNTIFS(veri!G:G,2,veri!H:H,11)</f>
        <v>0</v>
      </c>
      <c r="C5" s="123">
        <f>COUNTIFS(veri!G:G,2,veri!H:H,12)</f>
        <v>0</v>
      </c>
      <c r="D5" s="123">
        <f>COUNTIFS(veri!G:G,2,veri!H:H,13)</f>
        <v>0</v>
      </c>
      <c r="E5" s="123">
        <f>COUNTIFS(veri!G:G,2,veri!H:H,14)</f>
        <v>0</v>
      </c>
      <c r="F5" s="123">
        <f>COUNTIFS(veri!G:G,2,veri!H:H,15)</f>
        <v>0</v>
      </c>
      <c r="G5" s="123">
        <f>COUNTIFS(veri!G:G,2,veri!H:H,16)</f>
        <v>0</v>
      </c>
      <c r="H5" s="123">
        <f>COUNTIFS(veri!G:G,2,veri!H:H,17)</f>
        <v>0</v>
      </c>
      <c r="I5" s="123">
        <f>COUNTIFS(veri!G:G,2,veri!H:H,18)</f>
        <v>0</v>
      </c>
      <c r="J5" s="123">
        <f>COUNTIFS(veri!G:G,2,veri!H:H,19)</f>
        <v>0</v>
      </c>
      <c r="K5" s="123">
        <f>COUNTIFS(veri!G:G,2,veri!H:H,20)</f>
        <v>0</v>
      </c>
      <c r="L5" s="124">
        <f>COUNTIFS(veri!G:G,2,veri!H:H,21)</f>
        <v>0</v>
      </c>
      <c r="M5" s="123">
        <f>COUNTIFS(veri!G:G,2,veri!H:H,22)</f>
        <v>0</v>
      </c>
      <c r="N5" s="123">
        <f>COUNTIFS(veri!G:G,2,veri!H:H,31)</f>
        <v>0</v>
      </c>
      <c r="O5" s="123">
        <f>COUNTIFS(veri!G:G,2,veri!H:H,32)</f>
        <v>0</v>
      </c>
      <c r="P5" s="123">
        <f>COUNTIFS(veri!G:G,2,veri!H:H,33)</f>
        <v>0</v>
      </c>
      <c r="Q5" s="123">
        <f>COUNTIFS(veri!G:G,2,veri!H:H,34)</f>
        <v>0</v>
      </c>
      <c r="R5" s="123">
        <f>COUNTIFS(veri!G:G,2,veri!H:H,35)</f>
        <v>0</v>
      </c>
      <c r="S5" s="123">
        <f>COUNTIFS(veri!G:G,2,veri!H:H,36)</f>
        <v>0</v>
      </c>
      <c r="T5" s="123">
        <f>COUNTIFS(veri!G:G,2,veri!H:H,37)</f>
        <v>0</v>
      </c>
      <c r="U5" s="123">
        <f>COUNTIFS(veri!G:G,2,veri!H:H,38)</f>
        <v>0</v>
      </c>
      <c r="V5" s="123">
        <f>COUNTIFS(veri!G:G,2,veri!H:H,39)</f>
        <v>0</v>
      </c>
      <c r="W5" s="123">
        <f>COUNTIFS(veri!G:G,2,veri!H:H,40)</f>
        <v>0</v>
      </c>
      <c r="X5" s="123">
        <f>COUNTIFS(veri!G:G,2,veri!H:H,41)</f>
        <v>0</v>
      </c>
      <c r="Y5" s="123">
        <f>COUNTIFS(veri!G:G,2,veri!H:H,42)</f>
        <v>0</v>
      </c>
      <c r="Z5" s="121">
        <f t="shared" si="0"/>
        <v>0</v>
      </c>
      <c r="AA5" s="14"/>
      <c r="AB5" s="14"/>
      <c r="AC5" s="14"/>
      <c r="AD5" s="14"/>
      <c r="AE5" s="14"/>
    </row>
    <row r="6" spans="1:31" ht="13.5" customHeight="1" x14ac:dyDescent="0.15">
      <c r="A6" s="120" t="s">
        <v>697</v>
      </c>
      <c r="B6" s="116">
        <f>COUNTIFS(veri!G:G,3,veri!H:H,11)</f>
        <v>0</v>
      </c>
      <c r="C6" s="116">
        <f>COUNTIFS(veri!G:G,3,veri!H:H,12)</f>
        <v>0</v>
      </c>
      <c r="D6" s="116">
        <f>COUNTIFS(veri!G:G,3,veri!H:H,13)</f>
        <v>0</v>
      </c>
      <c r="E6" s="116">
        <f>COUNTIFS(veri!G:G,3,veri!H:H,14)</f>
        <v>0</v>
      </c>
      <c r="F6" s="116">
        <f>COUNTIFS(veri!G:G,3,veri!H:H,15)</f>
        <v>0</v>
      </c>
      <c r="G6" s="116">
        <f>COUNTIFS(veri!G:G,3,veri!H:H,16)</f>
        <v>0</v>
      </c>
      <c r="H6" s="116">
        <f>COUNTIFS(veri!G:G,3,veri!H:H,17)</f>
        <v>0</v>
      </c>
      <c r="I6" s="116">
        <f>COUNTIFS(veri!G:G,3,veri!H:H,18)</f>
        <v>0</v>
      </c>
      <c r="J6" s="116">
        <f>COUNTIFS(veri!G:G,3,veri!H:H,19)</f>
        <v>0</v>
      </c>
      <c r="K6" s="116">
        <f>COUNTIFS(veri!G:G,3,veri!H:H,20)</f>
        <v>0</v>
      </c>
      <c r="L6" s="127">
        <f>COUNTIFS(veri!G:G,3,veri!H:H,21)</f>
        <v>0</v>
      </c>
      <c r="M6" s="116">
        <f>COUNTIFS(veri!G:G,3,veri!H:H,22)</f>
        <v>0</v>
      </c>
      <c r="N6" s="116">
        <f>COUNTIFS(veri!G:G,3,veri!H:H,31)</f>
        <v>0</v>
      </c>
      <c r="O6" s="116">
        <f>COUNTIFS(veri!G:G,3,veri!H:H,32)</f>
        <v>0</v>
      </c>
      <c r="P6" s="116">
        <f>COUNTIFS(veri!G:G,3,veri!H:H,33)</f>
        <v>0</v>
      </c>
      <c r="Q6" s="116">
        <f>COUNTIFS(veri!G:G,3,veri!H:H,34)</f>
        <v>0</v>
      </c>
      <c r="R6" s="116">
        <f>COUNTIFS(veri!G:G,3,veri!H:H,35)</f>
        <v>0</v>
      </c>
      <c r="S6" s="116">
        <f>COUNTIFS(veri!G:G,3,veri!H:H,36)</f>
        <v>0</v>
      </c>
      <c r="T6" s="116">
        <f>COUNTIFS(veri!G:G,3,veri!H:H,37)</f>
        <v>0</v>
      </c>
      <c r="U6" s="116">
        <f>COUNTIFS(veri!G:G,3,veri!H:H,38)</f>
        <v>0</v>
      </c>
      <c r="V6" s="116">
        <f>COUNTIFS(veri!G:G,3,veri!H:H,39)</f>
        <v>0</v>
      </c>
      <c r="W6" s="116">
        <f>COUNTIFS(veri!G:G,3,veri!H:H,40)</f>
        <v>0</v>
      </c>
      <c r="X6" s="116">
        <f>COUNTIFS(veri!G:G,3,veri!H:H,41)</f>
        <v>0</v>
      </c>
      <c r="Y6" s="116">
        <f>COUNTIFS(veri!G:G,3,veri!H:H,42)</f>
        <v>0</v>
      </c>
      <c r="Z6" s="121">
        <f t="shared" si="0"/>
        <v>0</v>
      </c>
      <c r="AA6" s="14"/>
      <c r="AB6" s="14"/>
      <c r="AC6" s="14"/>
      <c r="AD6" s="14"/>
      <c r="AE6" s="14"/>
    </row>
    <row r="7" spans="1:31" ht="13.5" customHeight="1" x14ac:dyDescent="0.15">
      <c r="A7" s="122" t="s">
        <v>83</v>
      </c>
      <c r="B7" s="123">
        <f>COUNTIFS(veri!G:G,4,veri!H:H,11)</f>
        <v>0</v>
      </c>
      <c r="C7" s="123">
        <f>COUNTIFS(veri!G:G,4,veri!H:H,12)</f>
        <v>0</v>
      </c>
      <c r="D7" s="123">
        <f>COUNTIFS(veri!G:G,4,veri!H:H,13)</f>
        <v>0</v>
      </c>
      <c r="E7" s="123">
        <f>COUNTIFS(veri!G:G,4,veri!H:H,14)</f>
        <v>0</v>
      </c>
      <c r="F7" s="123">
        <f>COUNTIFS(veri!G:G,4,veri!H:H,15)</f>
        <v>0</v>
      </c>
      <c r="G7" s="123">
        <f>COUNTIFS(veri!G:G,4,veri!H:H,16)</f>
        <v>0</v>
      </c>
      <c r="H7" s="123">
        <f>COUNTIFS(veri!G:G,4,veri!H:H,17)</f>
        <v>0</v>
      </c>
      <c r="I7" s="123">
        <f>COUNTIFS(veri!G:G,4,veri!H:H,18)</f>
        <v>0</v>
      </c>
      <c r="J7" s="123">
        <f>COUNTIFS(veri!G:G,4,veri!H:H,19)</f>
        <v>0</v>
      </c>
      <c r="K7" s="123">
        <f>COUNTIFS(veri!G:G,4,veri!H:H,20)</f>
        <v>0</v>
      </c>
      <c r="L7" s="124">
        <f>COUNTIFS(veri!G:G,4,veri!H:H,21)</f>
        <v>0</v>
      </c>
      <c r="M7" s="123">
        <f>COUNTIFS(veri!G:G,4,veri!H:H,22)</f>
        <v>0</v>
      </c>
      <c r="N7" s="123">
        <f>COUNTIFS(veri!G:G,4,veri!H:H,31)</f>
        <v>0</v>
      </c>
      <c r="O7" s="123">
        <f>COUNTIFS(veri!G:G,4,veri!H:H,32)</f>
        <v>0</v>
      </c>
      <c r="P7" s="123">
        <f>COUNTIFS(veri!G:G,4,veri!H:H,33)</f>
        <v>0</v>
      </c>
      <c r="Q7" s="123">
        <f>COUNTIFS(veri!G:G,4,veri!H:H,34)</f>
        <v>0</v>
      </c>
      <c r="R7" s="123">
        <f>COUNTIFS(veri!G:G,4,veri!H:H,35)</f>
        <v>0</v>
      </c>
      <c r="S7" s="123">
        <f>COUNTIFS(veri!G:G,4,veri!H:H,36)</f>
        <v>0</v>
      </c>
      <c r="T7" s="123">
        <f>COUNTIFS(veri!G:G,4,veri!H:H,37)</f>
        <v>0</v>
      </c>
      <c r="U7" s="123">
        <f>COUNTIFS(veri!G:G,4,veri!H:H,38)</f>
        <v>0</v>
      </c>
      <c r="V7" s="123">
        <f>COUNTIFS(veri!G:G,4,veri!H:H,39)</f>
        <v>0</v>
      </c>
      <c r="W7" s="123">
        <f>COUNTIFS(veri!G:G,4,veri!H:H,40)</f>
        <v>0</v>
      </c>
      <c r="X7" s="123">
        <f>COUNTIFS(veri!G:G,4,veri!H:H,41)</f>
        <v>0</v>
      </c>
      <c r="Y7" s="123">
        <f>COUNTIFS(veri!G:G,4,veri!H:H,42)</f>
        <v>0</v>
      </c>
      <c r="Z7" s="121">
        <f t="shared" si="0"/>
        <v>0</v>
      </c>
      <c r="AA7" s="14"/>
      <c r="AB7" s="14"/>
      <c r="AC7" s="14"/>
      <c r="AD7" s="14"/>
      <c r="AE7" s="14"/>
    </row>
    <row r="8" spans="1:31" ht="13.5" customHeight="1" x14ac:dyDescent="0.15">
      <c r="A8" s="120" t="s">
        <v>698</v>
      </c>
      <c r="B8" s="116">
        <f>COUNTIFS(veri!G:G,5,veri!H:H,11)</f>
        <v>0</v>
      </c>
      <c r="C8" s="116">
        <f>COUNTIFS(veri!G:G,5,veri!H:H,12)</f>
        <v>0</v>
      </c>
      <c r="D8" s="116">
        <f>COUNTIFS(veri!G:G,5,veri!H:H,13)</f>
        <v>0</v>
      </c>
      <c r="E8" s="116">
        <f>COUNTIFS(veri!G:G,5,veri!H:H,14)</f>
        <v>0</v>
      </c>
      <c r="F8" s="116">
        <f>COUNTIFS(veri!G:G,5,veri!H:H,15)</f>
        <v>0</v>
      </c>
      <c r="G8" s="116">
        <f>COUNTIFS(veri!G:G,5,veri!H:H,16)</f>
        <v>0</v>
      </c>
      <c r="H8" s="116">
        <f>COUNTIFS(veri!G:G,5,veri!H:H,17)</f>
        <v>0</v>
      </c>
      <c r="I8" s="116">
        <f>COUNTIFS(veri!G:G,5,veri!H:H,18)</f>
        <v>0</v>
      </c>
      <c r="J8" s="116">
        <f>COUNTIFS(veri!G:G,5,veri!H:H,19)</f>
        <v>0</v>
      </c>
      <c r="K8" s="116">
        <f>COUNTIFS(veri!G:G,5,veri!H:H,20)</f>
        <v>0</v>
      </c>
      <c r="L8" s="127">
        <f>COUNTIFS(veri!G:G,5,veri!H:H,21)</f>
        <v>0</v>
      </c>
      <c r="M8" s="116">
        <f>COUNTIFS(veri!G:G,5,veri!H:H,22)</f>
        <v>0</v>
      </c>
      <c r="N8" s="116">
        <f>COUNTIFS(veri!G:G,5,veri!H:H,31)</f>
        <v>0</v>
      </c>
      <c r="O8" s="116">
        <f>COUNTIFS(veri!G:G,5,veri!H:H,32)</f>
        <v>0</v>
      </c>
      <c r="P8" s="116">
        <f>COUNTIFS(veri!G:G,5,veri!H:H,33)</f>
        <v>0</v>
      </c>
      <c r="Q8" s="116">
        <f>COUNTIFS(veri!G:G,5,veri!H:H,34)</f>
        <v>0</v>
      </c>
      <c r="R8" s="116">
        <f>COUNTIFS(veri!G:G,5,veri!H:H,35)</f>
        <v>0</v>
      </c>
      <c r="S8" s="116">
        <f>COUNTIFS(veri!G:G,5,veri!H:H,36)</f>
        <v>0</v>
      </c>
      <c r="T8" s="116">
        <f>COUNTIFS(veri!G:G,5,veri!H:H,37)</f>
        <v>0</v>
      </c>
      <c r="U8" s="116">
        <f>COUNTIFS(veri!G:G,5,veri!H:H,38)</f>
        <v>0</v>
      </c>
      <c r="V8" s="116">
        <f>COUNTIFS(veri!G:G,5,veri!H:H,39)</f>
        <v>0</v>
      </c>
      <c r="W8" s="116">
        <f>COUNTIFS(veri!G:G,5,veri!H:H,40)</f>
        <v>0</v>
      </c>
      <c r="X8" s="116">
        <f>COUNTIFS(veri!G:G,5,veri!H:H,41)</f>
        <v>0</v>
      </c>
      <c r="Y8" s="116">
        <f>COUNTIFS(veri!G:G,5,veri!H:H,42)</f>
        <v>0</v>
      </c>
      <c r="Z8" s="121">
        <f t="shared" si="0"/>
        <v>0</v>
      </c>
      <c r="AA8" s="14"/>
      <c r="AB8" s="14"/>
      <c r="AC8" s="14"/>
      <c r="AD8" s="14"/>
      <c r="AE8" s="14"/>
    </row>
    <row r="9" spans="1:31" ht="13.5" customHeight="1" x14ac:dyDescent="0.15">
      <c r="A9" s="122" t="s">
        <v>105</v>
      </c>
      <c r="B9" s="123">
        <f>COUNTIFS(veri!G:G,6,veri!H:H,11)</f>
        <v>0</v>
      </c>
      <c r="C9" s="123">
        <f>COUNTIFS(veri!G:G,6,veri!H:H,12)</f>
        <v>0</v>
      </c>
      <c r="D9" s="123">
        <f>COUNTIFS(veri!G:G,6,veri!H:H,13)</f>
        <v>0</v>
      </c>
      <c r="E9" s="123">
        <f>COUNTIFS(veri!G:G,6,veri!H:H,14)</f>
        <v>0</v>
      </c>
      <c r="F9" s="123">
        <f>COUNTIFS(veri!G:G,6,veri!H:H,15)</f>
        <v>0</v>
      </c>
      <c r="G9" s="123">
        <f>COUNTIFS(veri!G:G,6,veri!H:H,16)</f>
        <v>0</v>
      </c>
      <c r="H9" s="123">
        <f>COUNTIFS(veri!G:G,6,veri!H:H,17)</f>
        <v>0</v>
      </c>
      <c r="I9" s="123">
        <f>COUNTIFS(veri!G:G,6,veri!H:H,18)</f>
        <v>0</v>
      </c>
      <c r="J9" s="123">
        <f>COUNTIFS(veri!G:G,6,veri!H:H,19)</f>
        <v>0</v>
      </c>
      <c r="K9" s="123">
        <f>COUNTIFS(veri!G:G,6,veri!H:H,20)</f>
        <v>0</v>
      </c>
      <c r="L9" s="124">
        <f>COUNTIFS(veri!G:G,6,veri!H:H,21)</f>
        <v>0</v>
      </c>
      <c r="M9" s="123">
        <f>COUNTIFS(veri!G:G,6,veri!H:H,22)</f>
        <v>0</v>
      </c>
      <c r="N9" s="123">
        <f>COUNTIFS(veri!G:G,6,veri!H:H,31)</f>
        <v>0</v>
      </c>
      <c r="O9" s="123">
        <f>COUNTIFS(veri!G:G,6,veri!H:H,32)</f>
        <v>0</v>
      </c>
      <c r="P9" s="123">
        <f>COUNTIFS(veri!G:G,6,veri!H:H,33)</f>
        <v>0</v>
      </c>
      <c r="Q9" s="123">
        <f>COUNTIFS(veri!G:G,6,veri!H:H,34)</f>
        <v>0</v>
      </c>
      <c r="R9" s="123">
        <f>COUNTIFS(veri!G:G,6,veri!H:H,35)</f>
        <v>0</v>
      </c>
      <c r="S9" s="123">
        <f>COUNTIFS(veri!G:G,6,veri!H:H,36)</f>
        <v>0</v>
      </c>
      <c r="T9" s="123">
        <f>COUNTIFS(veri!G:G,6,veri!H:H,37)</f>
        <v>0</v>
      </c>
      <c r="U9" s="123">
        <f>COUNTIFS(veri!G:G,6,veri!H:H,38)</f>
        <v>0</v>
      </c>
      <c r="V9" s="123">
        <f>COUNTIFS(veri!G:G,6,veri!H:H,39)</f>
        <v>0</v>
      </c>
      <c r="W9" s="123">
        <f>COUNTIFS(veri!G:G,6,veri!H:H,40)</f>
        <v>0</v>
      </c>
      <c r="X9" s="123">
        <f>COUNTIFS(veri!G:G,6,veri!H:H,41)</f>
        <v>0</v>
      </c>
      <c r="Y9" s="123">
        <f>COUNTIFS(veri!G:G,6,veri!H:H,42)</f>
        <v>0</v>
      </c>
      <c r="Z9" s="121">
        <f t="shared" si="0"/>
        <v>0</v>
      </c>
      <c r="AA9" s="14"/>
      <c r="AB9" s="14"/>
      <c r="AC9" s="14"/>
      <c r="AD9" s="14"/>
      <c r="AE9" s="14"/>
    </row>
    <row r="10" spans="1:31" ht="13.5" customHeight="1" x14ac:dyDescent="0.15">
      <c r="A10" s="120" t="s">
        <v>699</v>
      </c>
      <c r="B10" s="116">
        <f>COUNTIFS(veri!G:G,7,veri!H:H,11)</f>
        <v>0</v>
      </c>
      <c r="C10" s="116">
        <f>COUNTIFS(veri!G:G,7,veri!H:H,12)</f>
        <v>0</v>
      </c>
      <c r="D10" s="116">
        <f>COUNTIFS(veri!G:G,7,veri!H:H,13)</f>
        <v>0</v>
      </c>
      <c r="E10" s="116">
        <f>COUNTIFS(veri!G:G,7,veri!H:H,14)</f>
        <v>0</v>
      </c>
      <c r="F10" s="116">
        <f>COUNTIFS(veri!G:G,7,veri!H:H,15)</f>
        <v>0</v>
      </c>
      <c r="G10" s="116">
        <f>COUNTIFS(veri!G:G,7,veri!H:H,16)</f>
        <v>0</v>
      </c>
      <c r="H10" s="116">
        <f>COUNTIFS(veri!G:G,7,veri!H:H,17)</f>
        <v>0</v>
      </c>
      <c r="I10" s="116">
        <f>COUNTIFS(veri!G:G,7,veri!H:H,18)</f>
        <v>0</v>
      </c>
      <c r="J10" s="116">
        <f>COUNTIFS(veri!G:G,7,veri!H:H,19)</f>
        <v>0</v>
      </c>
      <c r="K10" s="116">
        <f>COUNTIFS(veri!G:G,7,veri!H:H,20)</f>
        <v>0</v>
      </c>
      <c r="L10" s="127">
        <f>COUNTIFS(veri!G:G,7,veri!H:H,21)</f>
        <v>0</v>
      </c>
      <c r="M10" s="116">
        <f>COUNTIFS(veri!G:G,7,veri!H:H,22)</f>
        <v>0</v>
      </c>
      <c r="N10" s="116">
        <f>COUNTIFS(veri!G:G,7,veri!H:H,31)</f>
        <v>0</v>
      </c>
      <c r="O10" s="116">
        <f>COUNTIFS(veri!G:G,7,veri!H:H,32)</f>
        <v>0</v>
      </c>
      <c r="P10" s="116">
        <f>COUNTIFS(veri!G:G,7,veri!H:H,33)</f>
        <v>0</v>
      </c>
      <c r="Q10" s="116">
        <f>COUNTIFS(veri!G:G,7,veri!H:H,34)</f>
        <v>0</v>
      </c>
      <c r="R10" s="116">
        <f>COUNTIFS(veri!G:G,7,veri!H:H,35)</f>
        <v>0</v>
      </c>
      <c r="S10" s="116">
        <f>COUNTIFS(veri!G:G,7,veri!H:H,36)</f>
        <v>0</v>
      </c>
      <c r="T10" s="116">
        <f>COUNTIFS(veri!G:G,7,veri!H:H,37)</f>
        <v>0</v>
      </c>
      <c r="U10" s="116">
        <f>COUNTIFS(veri!G:G,7,veri!H:H,38)</f>
        <v>0</v>
      </c>
      <c r="V10" s="116">
        <f>COUNTIFS(veri!G:G,7,veri!H:H,39)</f>
        <v>0</v>
      </c>
      <c r="W10" s="116">
        <f>COUNTIFS(veri!G:G,7,veri!H:H,40)</f>
        <v>0</v>
      </c>
      <c r="X10" s="116">
        <f>COUNTIFS(veri!G:G,7,veri!H:H,41)</f>
        <v>0</v>
      </c>
      <c r="Y10" s="116">
        <f>COUNTIFS(veri!G:G,7,veri!H:H,42)</f>
        <v>0</v>
      </c>
      <c r="Z10" s="121">
        <f t="shared" si="0"/>
        <v>0</v>
      </c>
      <c r="AA10" s="14"/>
      <c r="AB10" s="14"/>
      <c r="AC10" s="14"/>
      <c r="AD10" s="14"/>
      <c r="AE10" s="14"/>
    </row>
    <row r="11" spans="1:31" ht="13.5" customHeight="1" x14ac:dyDescent="0.15">
      <c r="A11" s="122" t="s">
        <v>700</v>
      </c>
      <c r="B11" s="123">
        <f>COUNTIFS(veri!G:G,8,veri!H:H,11)</f>
        <v>0</v>
      </c>
      <c r="C11" s="123">
        <f>COUNTIFS(veri!G:G,8,veri!H:H,12)</f>
        <v>0</v>
      </c>
      <c r="D11" s="123">
        <f>COUNTIFS(veri!G:G,8,veri!H:H,13)</f>
        <v>0</v>
      </c>
      <c r="E11" s="123">
        <f>COUNTIFS(veri!G:G,8,veri!H:H,14)</f>
        <v>0</v>
      </c>
      <c r="F11" s="123">
        <f>COUNTIFS(veri!G:G,8,veri!H:H,15)</f>
        <v>0</v>
      </c>
      <c r="G11" s="123">
        <f>COUNTIFS(veri!G:G,8,veri!H:H,16)</f>
        <v>0</v>
      </c>
      <c r="H11" s="123">
        <f>COUNTIFS(veri!G:G,8,veri!H:H,17)</f>
        <v>0</v>
      </c>
      <c r="I11" s="123">
        <f>COUNTIFS(veri!G:G,8,veri!H:H,18)</f>
        <v>0</v>
      </c>
      <c r="J11" s="123">
        <f>COUNTIFS(veri!G:G,8,veri!H:H,19)</f>
        <v>0</v>
      </c>
      <c r="K11" s="123">
        <f>COUNTIFS(veri!G:G,8,veri!H:H,20)</f>
        <v>0</v>
      </c>
      <c r="L11" s="124">
        <f>COUNTIFS(veri!G:G,8,veri!H:H,21)</f>
        <v>0</v>
      </c>
      <c r="M11" s="123">
        <f>COUNTIFS(veri!G:G,8,veri!H:H,22)</f>
        <v>0</v>
      </c>
      <c r="N11" s="123">
        <f>COUNTIFS(veri!G:G,8,veri!H:H,31)</f>
        <v>0</v>
      </c>
      <c r="O11" s="123">
        <f>COUNTIFS(veri!G:G,8,veri!H:H,32)</f>
        <v>0</v>
      </c>
      <c r="P11" s="123">
        <f>COUNTIFS(veri!G:G,8,veri!H:H,33)</f>
        <v>0</v>
      </c>
      <c r="Q11" s="123">
        <f>COUNTIFS(veri!G:G,8,veri!H:H,34)</f>
        <v>0</v>
      </c>
      <c r="R11" s="123">
        <f>COUNTIFS(veri!G:G,8,veri!H:H,35)</f>
        <v>0</v>
      </c>
      <c r="S11" s="123">
        <f>COUNTIFS(veri!G:G,8,veri!H:H,36)</f>
        <v>0</v>
      </c>
      <c r="T11" s="123">
        <f>COUNTIFS(veri!G:G,8,veri!H:H,37)</f>
        <v>0</v>
      </c>
      <c r="U11" s="123">
        <f>COUNTIFS(veri!G:G,8,veri!H:H,38)</f>
        <v>0</v>
      </c>
      <c r="V11" s="123">
        <f>COUNTIFS(veri!G:G,8,veri!H:H,39)</f>
        <v>0</v>
      </c>
      <c r="W11" s="123">
        <f>COUNTIFS(veri!G:G,8,veri!H:H,40)</f>
        <v>0</v>
      </c>
      <c r="X11" s="123">
        <f>COUNTIFS(veri!G:G,8,veri!H:H,41)</f>
        <v>0</v>
      </c>
      <c r="Y11" s="123">
        <f>COUNTIFS(veri!G:G,8,veri!H:H,42)</f>
        <v>0</v>
      </c>
      <c r="Z11" s="121">
        <f t="shared" si="0"/>
        <v>0</v>
      </c>
      <c r="AA11" s="14"/>
      <c r="AB11" s="14"/>
      <c r="AC11" s="14"/>
      <c r="AD11" s="14"/>
      <c r="AE11" s="14"/>
    </row>
    <row r="12" spans="1:31" ht="13.5" customHeight="1" x14ac:dyDescent="0.15">
      <c r="A12" s="120" t="s">
        <v>701</v>
      </c>
      <c r="B12" s="116">
        <f>COUNTIFS(veri!G:G,9,veri!H:H,11)</f>
        <v>0</v>
      </c>
      <c r="C12" s="116">
        <f>COUNTIFS(veri!G:G,9,veri!H:H,12)</f>
        <v>0</v>
      </c>
      <c r="D12" s="116">
        <f>COUNTIFS(veri!G:G,9,veri!H:H,13)</f>
        <v>0</v>
      </c>
      <c r="E12" s="116">
        <f>COUNTIFS(veri!G:G,9,veri!H:H,14)</f>
        <v>0</v>
      </c>
      <c r="F12" s="116">
        <f>COUNTIFS(veri!G:G,9,veri!H:H,15)</f>
        <v>0</v>
      </c>
      <c r="G12" s="116">
        <f>COUNTIFS(veri!G:G,9,veri!H:H,16)</f>
        <v>0</v>
      </c>
      <c r="H12" s="116">
        <f>COUNTIFS(veri!G:G,9,veri!H:H,17)</f>
        <v>0</v>
      </c>
      <c r="I12" s="116">
        <f>COUNTIFS(veri!G:G,9,veri!H:H,18)</f>
        <v>0</v>
      </c>
      <c r="J12" s="116">
        <f>COUNTIFS(veri!G:G,9,veri!H:H,19)</f>
        <v>0</v>
      </c>
      <c r="K12" s="116">
        <f>COUNTIFS(veri!G:G,9,veri!H:H,20)</f>
        <v>0</v>
      </c>
      <c r="L12" s="127">
        <f>COUNTIFS(veri!G:G,9,veri!H:H,21)</f>
        <v>0</v>
      </c>
      <c r="M12" s="116">
        <f>COUNTIFS(veri!G:G,9,veri!H:H,22)</f>
        <v>0</v>
      </c>
      <c r="N12" s="116">
        <f>COUNTIFS(veri!G:G,9,veri!H:H,31)</f>
        <v>0</v>
      </c>
      <c r="O12" s="116">
        <f>COUNTIFS(veri!G:G,9,veri!H:H,32)</f>
        <v>0</v>
      </c>
      <c r="P12" s="116">
        <f>COUNTIFS(veri!G:G,9,veri!H:H,33)</f>
        <v>0</v>
      </c>
      <c r="Q12" s="116">
        <f>COUNTIFS(veri!G:G,9,veri!H:H,34)</f>
        <v>0</v>
      </c>
      <c r="R12" s="116">
        <f>COUNTIFS(veri!G:G,9,veri!H:H,35)</f>
        <v>0</v>
      </c>
      <c r="S12" s="116">
        <f>COUNTIFS(veri!G:G,9,veri!H:H,36)</f>
        <v>0</v>
      </c>
      <c r="T12" s="116">
        <f>COUNTIFS(veri!G:G,9,veri!H:H,37)</f>
        <v>0</v>
      </c>
      <c r="U12" s="116">
        <f>COUNTIFS(veri!G:G,9,veri!H:H,38)</f>
        <v>0</v>
      </c>
      <c r="V12" s="116">
        <f>COUNTIFS(veri!G:G,9,veri!H:H,39)</f>
        <v>0</v>
      </c>
      <c r="W12" s="116">
        <f>COUNTIFS(veri!G:G,9,veri!H:H,40)</f>
        <v>0</v>
      </c>
      <c r="X12" s="116">
        <f>COUNTIFS(veri!G:G,9,veri!H:H,41)</f>
        <v>0</v>
      </c>
      <c r="Y12" s="116">
        <f>COUNTIFS(veri!G:G,9,veri!H:H,42)</f>
        <v>0</v>
      </c>
      <c r="Z12" s="121">
        <f t="shared" si="0"/>
        <v>0</v>
      </c>
      <c r="AA12" s="14"/>
      <c r="AB12" s="14"/>
      <c r="AC12" s="14"/>
      <c r="AD12" s="14"/>
      <c r="AE12" s="14"/>
    </row>
    <row r="13" spans="1:31" ht="13.5" customHeight="1" x14ac:dyDescent="0.15">
      <c r="A13" s="122" t="s">
        <v>702</v>
      </c>
      <c r="B13" s="123">
        <f>COUNTIFS(veri!G:G,10,veri!H:H,11)</f>
        <v>0</v>
      </c>
      <c r="C13" s="123">
        <f>COUNTIFS(veri!G:G,10,veri!H:H,12)</f>
        <v>0</v>
      </c>
      <c r="D13" s="123">
        <f>COUNTIFS(veri!G:G,10,veri!H:H,13)</f>
        <v>0</v>
      </c>
      <c r="E13" s="123">
        <f>COUNTIFS(veri!G:G,10,veri!H:H,14)</f>
        <v>0</v>
      </c>
      <c r="F13" s="123">
        <f>COUNTIFS(veri!G:G,10,veri!H:H,15)</f>
        <v>0</v>
      </c>
      <c r="G13" s="123">
        <f>COUNTIFS(veri!G:G,10,veri!H:H,16)</f>
        <v>0</v>
      </c>
      <c r="H13" s="123">
        <f>COUNTIFS(veri!G:G,10,veri!H:H,17)</f>
        <v>0</v>
      </c>
      <c r="I13" s="123">
        <f>COUNTIFS(veri!G:G,10,veri!H:H,18)</f>
        <v>0</v>
      </c>
      <c r="J13" s="123">
        <f>COUNTIFS(veri!G:G,10,veri!H:H,19)</f>
        <v>0</v>
      </c>
      <c r="K13" s="123">
        <f>COUNTIFS(veri!G:G,10,veri!H:H,20)</f>
        <v>0</v>
      </c>
      <c r="L13" s="124">
        <f>COUNTIFS(veri!G:G,10,veri!H:H,21)</f>
        <v>0</v>
      </c>
      <c r="M13" s="123">
        <f>COUNTIFS(veri!G:G,10,veri!H:H,22)</f>
        <v>0</v>
      </c>
      <c r="N13" s="123">
        <f>COUNTIFS(veri!G:G,10,veri!H:H,31)</f>
        <v>0</v>
      </c>
      <c r="O13" s="123">
        <f>COUNTIFS(veri!G:G,10,veri!H:H,32)</f>
        <v>0</v>
      </c>
      <c r="P13" s="123">
        <f>COUNTIFS(veri!G:G,10,veri!H:H,33)</f>
        <v>0</v>
      </c>
      <c r="Q13" s="123">
        <f>COUNTIFS(veri!G:G,10,veri!H:H,34)</f>
        <v>0</v>
      </c>
      <c r="R13" s="123">
        <f>COUNTIFS(veri!G:G,10,veri!H:H,35)</f>
        <v>0</v>
      </c>
      <c r="S13" s="123">
        <f>COUNTIFS(veri!G:G,10,veri!H:H,36)</f>
        <v>0</v>
      </c>
      <c r="T13" s="123">
        <f>COUNTIFS(veri!G:G,10,veri!H:H,37)</f>
        <v>0</v>
      </c>
      <c r="U13" s="123">
        <f>COUNTIFS(veri!G:G,10,veri!H:H,38)</f>
        <v>0</v>
      </c>
      <c r="V13" s="123">
        <f>COUNTIFS(veri!G:G,10,veri!H:H,39)</f>
        <v>0</v>
      </c>
      <c r="W13" s="123">
        <f>COUNTIFS(veri!G:G,10,veri!H:H,40)</f>
        <v>0</v>
      </c>
      <c r="X13" s="123">
        <f>COUNTIFS(veri!G:G,10,veri!H:H,41)</f>
        <v>0</v>
      </c>
      <c r="Y13" s="123">
        <f>COUNTIFS(veri!G:G,10,veri!H:H,42)</f>
        <v>0</v>
      </c>
      <c r="Z13" s="121">
        <f t="shared" si="0"/>
        <v>0</v>
      </c>
      <c r="AA13" s="14"/>
      <c r="AB13" s="14"/>
      <c r="AC13" s="14"/>
      <c r="AD13" s="14"/>
      <c r="AE13" s="14"/>
    </row>
    <row r="14" spans="1:31" ht="13.5" customHeight="1" x14ac:dyDescent="0.15">
      <c r="A14" s="120" t="s">
        <v>703</v>
      </c>
      <c r="B14" s="116">
        <f>COUNTIFS(veri!G:G,11,veri!H:H,11)</f>
        <v>0</v>
      </c>
      <c r="C14" s="116">
        <f>COUNTIFS(veri!G:G,11,veri!H:H,12)</f>
        <v>0</v>
      </c>
      <c r="D14" s="116">
        <f>COUNTIFS(veri!G:G,11,veri!H:H,13)</f>
        <v>0</v>
      </c>
      <c r="E14" s="116">
        <f>COUNTIFS(veri!G:G,11,veri!H:H,14)</f>
        <v>0</v>
      </c>
      <c r="F14" s="116">
        <f>COUNTIFS(veri!G:G,11,veri!H:H,15)</f>
        <v>0</v>
      </c>
      <c r="G14" s="116">
        <f>COUNTIFS(veri!G:G,11,veri!H:H,16)</f>
        <v>0</v>
      </c>
      <c r="H14" s="116">
        <f>COUNTIFS(veri!G:G,11,veri!H:H,17)</f>
        <v>0</v>
      </c>
      <c r="I14" s="116">
        <f>COUNTIFS(veri!G:G,11,veri!H:H,18)</f>
        <v>0</v>
      </c>
      <c r="J14" s="116">
        <f>COUNTIFS(veri!G:G,11,veri!H:H,19)</f>
        <v>0</v>
      </c>
      <c r="K14" s="116">
        <f>COUNTIFS(veri!G:G,11,veri!H:H,20)</f>
        <v>0</v>
      </c>
      <c r="L14" s="127">
        <f>COUNTIFS(veri!G:G,11,veri!H:H,21)</f>
        <v>0</v>
      </c>
      <c r="M14" s="116">
        <f>COUNTIFS(veri!G:G,11,veri!H:H,22)</f>
        <v>0</v>
      </c>
      <c r="N14" s="116">
        <f>COUNTIFS(veri!G:G,11,veri!H:H,31)</f>
        <v>0</v>
      </c>
      <c r="O14" s="116">
        <f>COUNTIFS(veri!G:G,11,veri!H:H,32)</f>
        <v>0</v>
      </c>
      <c r="P14" s="116">
        <f>COUNTIFS(veri!G:G,11,veri!H:H,33)</f>
        <v>0</v>
      </c>
      <c r="Q14" s="116">
        <f>COUNTIFS(veri!G:G,11,veri!H:H,34)</f>
        <v>0</v>
      </c>
      <c r="R14" s="116">
        <f>COUNTIFS(veri!G:G,11,veri!H:H,35)</f>
        <v>0</v>
      </c>
      <c r="S14" s="116">
        <f>COUNTIFS(veri!G:G,11,veri!H:H,36)</f>
        <v>0</v>
      </c>
      <c r="T14" s="116">
        <f>COUNTIFS(veri!G:G,11,veri!H:H,37)</f>
        <v>0</v>
      </c>
      <c r="U14" s="116">
        <f>COUNTIFS(veri!G:G,11,veri!H:H,38)</f>
        <v>0</v>
      </c>
      <c r="V14" s="116">
        <f>COUNTIFS(veri!G:G,11,veri!H:H,39)</f>
        <v>0</v>
      </c>
      <c r="W14" s="116">
        <f>COUNTIFS(veri!G:G,11,veri!H:H,40)</f>
        <v>0</v>
      </c>
      <c r="X14" s="116">
        <f>COUNTIFS(veri!G:G,11,veri!H:H,41)</f>
        <v>0</v>
      </c>
      <c r="Y14" s="116">
        <f>COUNTIFS(veri!G:G,11,veri!H:H,42)</f>
        <v>0</v>
      </c>
      <c r="Z14" s="121">
        <f t="shared" si="0"/>
        <v>0</v>
      </c>
      <c r="AA14" s="14"/>
      <c r="AB14" s="14"/>
      <c r="AC14" s="14"/>
      <c r="AD14" s="14"/>
      <c r="AE14" s="14"/>
    </row>
    <row r="15" spans="1:31" ht="13.5" customHeight="1" x14ac:dyDescent="0.15">
      <c r="A15" s="122" t="s">
        <v>704</v>
      </c>
      <c r="B15" s="123">
        <f>COUNTIFS(veri!G:G,12,veri!H:H,11)</f>
        <v>0</v>
      </c>
      <c r="C15" s="123">
        <f>COUNTIFS(veri!G:G,12,veri!H:H,12)</f>
        <v>0</v>
      </c>
      <c r="D15" s="123">
        <f>COUNTIFS(veri!G:G,12,veri!H:H,13)</f>
        <v>0</v>
      </c>
      <c r="E15" s="123">
        <f>COUNTIFS(veri!G:G,12,veri!H:H,14)</f>
        <v>0</v>
      </c>
      <c r="F15" s="123">
        <f>COUNTIFS(veri!G:G,12,veri!H:H,15)</f>
        <v>0</v>
      </c>
      <c r="G15" s="123">
        <f>COUNTIFS(veri!G:G,12,veri!H:H,16)</f>
        <v>0</v>
      </c>
      <c r="H15" s="123">
        <f>COUNTIFS(veri!G:G,12,veri!H:H,17)</f>
        <v>0</v>
      </c>
      <c r="I15" s="123">
        <f>COUNTIFS(veri!G:G,12,veri!H:H,18)</f>
        <v>0</v>
      </c>
      <c r="J15" s="123">
        <f>COUNTIFS(veri!G:G,12,veri!H:H,19)</f>
        <v>0</v>
      </c>
      <c r="K15" s="123">
        <f>COUNTIFS(veri!G:G,12,veri!H:H,20)</f>
        <v>0</v>
      </c>
      <c r="L15" s="124">
        <f>COUNTIFS(veri!G:G,12,veri!H:H,21)</f>
        <v>0</v>
      </c>
      <c r="M15" s="123">
        <f>COUNTIFS(veri!G:G,12,veri!H:H,22)</f>
        <v>0</v>
      </c>
      <c r="N15" s="123">
        <f>COUNTIFS(veri!G:G,12,veri!H:H,31)</f>
        <v>0</v>
      </c>
      <c r="O15" s="123">
        <f>COUNTIFS(veri!G:G,12,veri!H:H,32)</f>
        <v>0</v>
      </c>
      <c r="P15" s="123">
        <f>COUNTIFS(veri!G:G,12,veri!H:H,33)</f>
        <v>0</v>
      </c>
      <c r="Q15" s="123">
        <f>COUNTIFS(veri!G:G,12,veri!H:H,34)</f>
        <v>0</v>
      </c>
      <c r="R15" s="123">
        <f>COUNTIFS(veri!G:G,12,veri!H:H,35)</f>
        <v>0</v>
      </c>
      <c r="S15" s="123">
        <f>COUNTIFS(veri!G:G,12,veri!H:H,36)</f>
        <v>0</v>
      </c>
      <c r="T15" s="123">
        <f>COUNTIFS(veri!G:G,12,veri!H:H,37)</f>
        <v>0</v>
      </c>
      <c r="U15" s="123">
        <f>COUNTIFS(veri!G:G,12,veri!H:H,38)</f>
        <v>0</v>
      </c>
      <c r="V15" s="123">
        <f>COUNTIFS(veri!G:G,12,veri!H:H,39)</f>
        <v>0</v>
      </c>
      <c r="W15" s="123">
        <f>COUNTIFS(veri!G:G,12,veri!H:H,40)</f>
        <v>0</v>
      </c>
      <c r="X15" s="123">
        <f>COUNTIFS(veri!G:G,12,veri!H:H,41)</f>
        <v>0</v>
      </c>
      <c r="Y15" s="123">
        <f>COUNTIFS(veri!G:G,12,veri!H:H,42)</f>
        <v>0</v>
      </c>
      <c r="Z15" s="121">
        <f t="shared" si="0"/>
        <v>0</v>
      </c>
      <c r="AA15" s="14"/>
      <c r="AB15" s="14"/>
      <c r="AC15" s="14"/>
      <c r="AD15" s="14"/>
      <c r="AE15" s="14"/>
    </row>
    <row r="16" spans="1:31" ht="13.5" customHeight="1" x14ac:dyDescent="0.15">
      <c r="A16" s="120" t="s">
        <v>705</v>
      </c>
      <c r="B16" s="116">
        <f>COUNTIFS(veri!G:G,13,veri!H:H,11)</f>
        <v>0</v>
      </c>
      <c r="C16" s="116">
        <f>COUNTIFS(veri!G:G,13,veri!H:H,12)</f>
        <v>0</v>
      </c>
      <c r="D16" s="116">
        <f>COUNTIFS(veri!G:G,13,veri!H:H,13)</f>
        <v>0</v>
      </c>
      <c r="E16" s="116">
        <f>COUNTIFS(veri!G:G,13,veri!H:H,14)</f>
        <v>0</v>
      </c>
      <c r="F16" s="116">
        <f>COUNTIFS(veri!G:G,13,veri!H:H,15)</f>
        <v>0</v>
      </c>
      <c r="G16" s="116">
        <f>COUNTIFS(veri!G:G,13,veri!H:H,16)</f>
        <v>0</v>
      </c>
      <c r="H16" s="116">
        <f>COUNTIFS(veri!G:G,13,veri!H:H,17)</f>
        <v>0</v>
      </c>
      <c r="I16" s="116">
        <f>COUNTIFS(veri!G:G,13,veri!H:H,18)</f>
        <v>0</v>
      </c>
      <c r="J16" s="116">
        <f>COUNTIFS(veri!G:G,13,veri!H:H,19)</f>
        <v>0</v>
      </c>
      <c r="K16" s="116">
        <f>COUNTIFS(veri!G:G,13,veri!H:H,20)</f>
        <v>0</v>
      </c>
      <c r="L16" s="127">
        <f>COUNTIFS(veri!G:G,13,veri!H:H,21)</f>
        <v>0</v>
      </c>
      <c r="M16" s="116">
        <f>COUNTIFS(veri!G:G,13,veri!H:H,22)</f>
        <v>0</v>
      </c>
      <c r="N16" s="116">
        <f>COUNTIFS(veri!G:G,13,veri!H:H,31)</f>
        <v>0</v>
      </c>
      <c r="O16" s="116">
        <f>COUNTIFS(veri!G:G,13,veri!H:H,32)</f>
        <v>0</v>
      </c>
      <c r="P16" s="116">
        <f>COUNTIFS(veri!G:G,13,veri!H:H,33)</f>
        <v>0</v>
      </c>
      <c r="Q16" s="116">
        <f>COUNTIFS(veri!G:G,13,veri!H:H,34)</f>
        <v>0</v>
      </c>
      <c r="R16" s="116">
        <f>COUNTIFS(veri!G:G,13,veri!H:H,35)</f>
        <v>0</v>
      </c>
      <c r="S16" s="116">
        <f>COUNTIFS(veri!G:G,13,veri!H:H,36)</f>
        <v>0</v>
      </c>
      <c r="T16" s="116">
        <f>COUNTIFS(veri!G:G,13,veri!H:H,37)</f>
        <v>0</v>
      </c>
      <c r="U16" s="116">
        <f>COUNTIFS(veri!G:G,13,veri!H:H,38)</f>
        <v>0</v>
      </c>
      <c r="V16" s="116">
        <f>COUNTIFS(veri!G:G,13,veri!H:H,39)</f>
        <v>0</v>
      </c>
      <c r="W16" s="116">
        <f>COUNTIFS(veri!G:G,13,veri!H:H,40)</f>
        <v>0</v>
      </c>
      <c r="X16" s="116">
        <f>COUNTIFS(veri!G:G,13,veri!H:H,41)</f>
        <v>0</v>
      </c>
      <c r="Y16" s="116">
        <f>COUNTIFS(veri!G:G,13,veri!H:H,42)</f>
        <v>0</v>
      </c>
      <c r="Z16" s="121">
        <f t="shared" si="0"/>
        <v>0</v>
      </c>
      <c r="AA16" s="14"/>
      <c r="AB16" s="14"/>
      <c r="AC16" s="14"/>
      <c r="AD16" s="14"/>
      <c r="AE16" s="14"/>
    </row>
    <row r="17" spans="1:31" ht="13.5" customHeight="1" x14ac:dyDescent="0.15">
      <c r="A17" s="122" t="s">
        <v>706</v>
      </c>
      <c r="B17" s="123">
        <f>COUNTIFS(veri!G:G,14,veri!H:H,11)</f>
        <v>0</v>
      </c>
      <c r="C17" s="123">
        <f>COUNTIFS(veri!G:G,14,veri!H:H,12)</f>
        <v>0</v>
      </c>
      <c r="D17" s="123">
        <f>COUNTIFS(veri!G:G,14,veri!H:H,13)</f>
        <v>0</v>
      </c>
      <c r="E17" s="123">
        <f>COUNTIFS(veri!G:G,14,veri!H:H,14)</f>
        <v>0</v>
      </c>
      <c r="F17" s="123">
        <f>COUNTIFS(veri!G:G,14,veri!H:H,15)</f>
        <v>0</v>
      </c>
      <c r="G17" s="123">
        <f>COUNTIFS(veri!G:G,14,veri!H:H,16)</f>
        <v>0</v>
      </c>
      <c r="H17" s="123">
        <f>COUNTIFS(veri!G:G,14,veri!H:H,17)</f>
        <v>0</v>
      </c>
      <c r="I17" s="123">
        <f>COUNTIFS(veri!G:G,14,veri!H:H,18)</f>
        <v>0</v>
      </c>
      <c r="J17" s="123">
        <f>COUNTIFS(veri!G:G,14,veri!H:H,19)</f>
        <v>0</v>
      </c>
      <c r="K17" s="123">
        <f>COUNTIFS(veri!G:G,14,veri!H:H,20)</f>
        <v>0</v>
      </c>
      <c r="L17" s="124">
        <f>COUNTIFS(veri!G:G,14,veri!H:H,21)</f>
        <v>0</v>
      </c>
      <c r="M17" s="123">
        <f>COUNTIFS(veri!G:G,14,veri!H:H,22)</f>
        <v>0</v>
      </c>
      <c r="N17" s="123">
        <f>COUNTIFS(veri!G:G,14,veri!H:H,31)</f>
        <v>0</v>
      </c>
      <c r="O17" s="123">
        <f>COUNTIFS(veri!G:G,14,veri!H:H,32)</f>
        <v>0</v>
      </c>
      <c r="P17" s="123">
        <f>COUNTIFS(veri!G:G,14,veri!H:H,33)</f>
        <v>0</v>
      </c>
      <c r="Q17" s="123">
        <f>COUNTIFS(veri!G:G,14,veri!H:H,34)</f>
        <v>0</v>
      </c>
      <c r="R17" s="123">
        <f>COUNTIFS(veri!G:G,14,veri!H:H,35)</f>
        <v>0</v>
      </c>
      <c r="S17" s="123">
        <f>COUNTIFS(veri!G:G,14,veri!H:H,36)</f>
        <v>0</v>
      </c>
      <c r="T17" s="123">
        <f>COUNTIFS(veri!G:G,14,veri!H:H,37)</f>
        <v>0</v>
      </c>
      <c r="U17" s="123">
        <f>COUNTIFS(veri!G:G,14,veri!H:H,38)</f>
        <v>0</v>
      </c>
      <c r="V17" s="123">
        <f>COUNTIFS(veri!G:G,14,veri!H:H,39)</f>
        <v>0</v>
      </c>
      <c r="W17" s="123">
        <f>COUNTIFS(veri!G:G,14,veri!H:H,40)</f>
        <v>0</v>
      </c>
      <c r="X17" s="123">
        <f>COUNTIFS(veri!G:G,14,veri!H:H,41)</f>
        <v>0</v>
      </c>
      <c r="Y17" s="123">
        <f>COUNTIFS(veri!G:G,14,veri!H:H,42)</f>
        <v>0</v>
      </c>
      <c r="Z17" s="121">
        <f t="shared" si="0"/>
        <v>0</v>
      </c>
      <c r="AA17" s="14"/>
      <c r="AB17" s="14"/>
      <c r="AC17" s="14"/>
      <c r="AD17" s="14"/>
      <c r="AE17" s="14"/>
    </row>
    <row r="18" spans="1:31" ht="13.5" customHeight="1" x14ac:dyDescent="0.15">
      <c r="A18" s="120" t="s">
        <v>707</v>
      </c>
      <c r="B18" s="116">
        <f>COUNTIFS(veri!G:G,15,veri!H:H,11)</f>
        <v>0</v>
      </c>
      <c r="C18" s="116">
        <f>COUNTIFS(veri!G:G,15,veri!H:H,12)</f>
        <v>0</v>
      </c>
      <c r="D18" s="116">
        <f>COUNTIFS(veri!G:G,15,veri!H:H,13)</f>
        <v>0</v>
      </c>
      <c r="E18" s="116">
        <f>COUNTIFS(veri!G:G,15,veri!H:H,14)</f>
        <v>0</v>
      </c>
      <c r="F18" s="116">
        <f>COUNTIFS(veri!G:G,15,veri!H:H,15)</f>
        <v>0</v>
      </c>
      <c r="G18" s="116">
        <f>COUNTIFS(veri!G:G,15,veri!H:H,16)</f>
        <v>0</v>
      </c>
      <c r="H18" s="116">
        <f>COUNTIFS(veri!G:G,15,veri!H:H,17)</f>
        <v>0</v>
      </c>
      <c r="I18" s="116">
        <f>COUNTIFS(veri!G:G,15,veri!H:H,18)</f>
        <v>0</v>
      </c>
      <c r="J18" s="116">
        <f>COUNTIFS(veri!G:G,15,veri!H:H,19)</f>
        <v>0</v>
      </c>
      <c r="K18" s="116">
        <f>COUNTIFS(veri!G:G,15,veri!H:H,20)</f>
        <v>0</v>
      </c>
      <c r="L18" s="127">
        <f>COUNTIFS(veri!G:G,15,veri!H:H,21)</f>
        <v>0</v>
      </c>
      <c r="M18" s="116">
        <f>COUNTIFS(veri!G:G,15,veri!H:H,22)</f>
        <v>0</v>
      </c>
      <c r="N18" s="116">
        <f>COUNTIFS(veri!G:G,15,veri!H:H,31)</f>
        <v>0</v>
      </c>
      <c r="O18" s="116">
        <f>COUNTIFS(veri!G:G,15,veri!H:H,32)</f>
        <v>0</v>
      </c>
      <c r="P18" s="116">
        <f>COUNTIFS(veri!G:G,15,veri!H:H,33)</f>
        <v>0</v>
      </c>
      <c r="Q18" s="116">
        <f>COUNTIFS(veri!G:G,15,veri!H:H,34)</f>
        <v>0</v>
      </c>
      <c r="R18" s="116">
        <f>COUNTIFS(veri!G:G,15,veri!H:H,35)</f>
        <v>0</v>
      </c>
      <c r="S18" s="116">
        <f>COUNTIFS(veri!G:G,15,veri!H:H,36)</f>
        <v>0</v>
      </c>
      <c r="T18" s="116">
        <f>COUNTIFS(veri!G:G,15,veri!H:H,37)</f>
        <v>0</v>
      </c>
      <c r="U18" s="116">
        <f>COUNTIFS(veri!G:G,15,veri!H:H,38)</f>
        <v>0</v>
      </c>
      <c r="V18" s="116">
        <f>COUNTIFS(veri!G:G,15,veri!H:H,39)</f>
        <v>0</v>
      </c>
      <c r="W18" s="116">
        <f>COUNTIFS(veri!G:G,15,veri!H:H,40)</f>
        <v>0</v>
      </c>
      <c r="X18" s="116">
        <f>COUNTIFS(veri!G:G,15,veri!H:H,41)</f>
        <v>0</v>
      </c>
      <c r="Y18" s="116">
        <f>COUNTIFS(veri!G:G,15,veri!H:H,42)</f>
        <v>0</v>
      </c>
      <c r="Z18" s="121">
        <f t="shared" si="0"/>
        <v>0</v>
      </c>
      <c r="AA18" s="14"/>
      <c r="AB18" s="14"/>
      <c r="AC18" s="14"/>
      <c r="AD18" s="14"/>
      <c r="AE18" s="14"/>
    </row>
    <row r="19" spans="1:31" ht="13.5" customHeight="1" x14ac:dyDescent="0.15">
      <c r="A19" s="122" t="s">
        <v>708</v>
      </c>
      <c r="B19" s="123">
        <f>COUNTIFS(veri!G:G,16,veri!H:H,11)</f>
        <v>0</v>
      </c>
      <c r="C19" s="123">
        <f>COUNTIFS(veri!G:G,16,veri!H:H,12)</f>
        <v>0</v>
      </c>
      <c r="D19" s="123">
        <f>COUNTIFS(veri!G:G,16,veri!H:H,13)</f>
        <v>0</v>
      </c>
      <c r="E19" s="123">
        <f>COUNTIFS(veri!G:G,16,veri!H:H,14)</f>
        <v>0</v>
      </c>
      <c r="F19" s="123">
        <f>COUNTIFS(veri!G:G,16,veri!H:H,15)</f>
        <v>0</v>
      </c>
      <c r="G19" s="123">
        <f>COUNTIFS(veri!G:G,16,veri!H:H,16)</f>
        <v>0</v>
      </c>
      <c r="H19" s="123">
        <f>COUNTIFS(veri!G:G,16,veri!H:H,17)</f>
        <v>0</v>
      </c>
      <c r="I19" s="123">
        <f>COUNTIFS(veri!G:G,16,veri!H:H,18)</f>
        <v>0</v>
      </c>
      <c r="J19" s="123">
        <f>COUNTIFS(veri!G:G,16,veri!H:H,19)</f>
        <v>0</v>
      </c>
      <c r="K19" s="123">
        <f>COUNTIFS(veri!G:G,16,veri!H:H,20)</f>
        <v>0</v>
      </c>
      <c r="L19" s="124">
        <f>COUNTIFS(veri!G:G,16,veri!H:H,21)</f>
        <v>0</v>
      </c>
      <c r="M19" s="123">
        <f>COUNTIFS(veri!G:G,16,veri!H:H,22)</f>
        <v>0</v>
      </c>
      <c r="N19" s="123">
        <f>COUNTIFS(veri!G:G,16,veri!H:H,31)</f>
        <v>0</v>
      </c>
      <c r="O19" s="123">
        <f>COUNTIFS(veri!G:G,16,veri!H:H,32)</f>
        <v>0</v>
      </c>
      <c r="P19" s="123">
        <f>COUNTIFS(veri!G:G,16,veri!H:H,33)</f>
        <v>0</v>
      </c>
      <c r="Q19" s="123">
        <f>COUNTIFS(veri!G:G,16,veri!H:H,34)</f>
        <v>0</v>
      </c>
      <c r="R19" s="123">
        <f>COUNTIFS(veri!G:G,16,veri!H:H,35)</f>
        <v>0</v>
      </c>
      <c r="S19" s="123">
        <f>COUNTIFS(veri!G:G,16,veri!H:H,36)</f>
        <v>0</v>
      </c>
      <c r="T19" s="123">
        <f>COUNTIFS(veri!G:G,16,veri!H:H,37)</f>
        <v>0</v>
      </c>
      <c r="U19" s="123">
        <f>COUNTIFS(veri!G:G,16,veri!H:H,38)</f>
        <v>0</v>
      </c>
      <c r="V19" s="123">
        <f>COUNTIFS(veri!G:G,16,veri!H:H,39)</f>
        <v>0</v>
      </c>
      <c r="W19" s="123">
        <f>COUNTIFS(veri!G:G,16,veri!H:H,40)</f>
        <v>0</v>
      </c>
      <c r="X19" s="123">
        <f>COUNTIFS(veri!G:G,16,veri!H:H,41)</f>
        <v>0</v>
      </c>
      <c r="Y19" s="123">
        <f>COUNTIFS(veri!G:G,16,veri!H:H,42)</f>
        <v>0</v>
      </c>
      <c r="Z19" s="121">
        <f t="shared" si="0"/>
        <v>0</v>
      </c>
      <c r="AA19" s="14"/>
      <c r="AB19" s="14"/>
      <c r="AC19" s="14"/>
      <c r="AD19" s="14"/>
      <c r="AE19" s="14"/>
    </row>
    <row r="20" spans="1:31" ht="13.5" customHeight="1" x14ac:dyDescent="0.15">
      <c r="A20" s="120" t="s">
        <v>709</v>
      </c>
      <c r="B20" s="116">
        <f>COUNTIFS(veri!G:G,17,veri!H:H,11)</f>
        <v>0</v>
      </c>
      <c r="C20" s="116">
        <f>COUNTIFS(veri!G:G,17,veri!H:H,12)</f>
        <v>0</v>
      </c>
      <c r="D20" s="116">
        <f>COUNTIFS(veri!G:G,17,veri!H:H,13)</f>
        <v>0</v>
      </c>
      <c r="E20" s="116">
        <f>COUNTIFS(veri!G:G,17,veri!H:H,14)</f>
        <v>0</v>
      </c>
      <c r="F20" s="116">
        <f>COUNTIFS(veri!G:G,17,veri!H:H,15)</f>
        <v>0</v>
      </c>
      <c r="G20" s="116">
        <f>COUNTIFS(veri!G:G,17,veri!H:H,16)</f>
        <v>0</v>
      </c>
      <c r="H20" s="116">
        <f>COUNTIFS(veri!G:G,17,veri!H:H,17)</f>
        <v>0</v>
      </c>
      <c r="I20" s="116">
        <f>COUNTIFS(veri!G:G,17,veri!H:H,18)</f>
        <v>0</v>
      </c>
      <c r="J20" s="116">
        <f>COUNTIFS(veri!G:G,17,veri!H:H,19)</f>
        <v>0</v>
      </c>
      <c r="K20" s="116">
        <f>COUNTIFS(veri!G:G,17,veri!H:H,20)</f>
        <v>0</v>
      </c>
      <c r="L20" s="127">
        <f>COUNTIFS(veri!G:G,17,veri!H:H,21)</f>
        <v>0</v>
      </c>
      <c r="M20" s="116">
        <f>COUNTIFS(veri!G:G,17,veri!H:H,22)</f>
        <v>0</v>
      </c>
      <c r="N20" s="116">
        <f>COUNTIFS(veri!G:G,17,veri!H:H,31)</f>
        <v>0</v>
      </c>
      <c r="O20" s="116">
        <f>COUNTIFS(veri!G:G,17,veri!H:H,32)</f>
        <v>0</v>
      </c>
      <c r="P20" s="116">
        <f>COUNTIFS(veri!G:G,17,veri!H:H,33)</f>
        <v>0</v>
      </c>
      <c r="Q20" s="116">
        <f>COUNTIFS(veri!G:G,17,veri!H:H,34)</f>
        <v>0</v>
      </c>
      <c r="R20" s="116">
        <f>COUNTIFS(veri!G:G,17,veri!H:H,35)</f>
        <v>0</v>
      </c>
      <c r="S20" s="116">
        <f>COUNTIFS(veri!G:G,17,veri!H:H,36)</f>
        <v>0</v>
      </c>
      <c r="T20" s="116">
        <f>COUNTIFS(veri!G:G,17,veri!H:H,37)</f>
        <v>0</v>
      </c>
      <c r="U20" s="116">
        <f>COUNTIFS(veri!G:G,17,veri!H:H,38)</f>
        <v>0</v>
      </c>
      <c r="V20" s="116">
        <f>COUNTIFS(veri!G:G,17,veri!H:H,39)</f>
        <v>0</v>
      </c>
      <c r="W20" s="116">
        <f>COUNTIFS(veri!G:G,17,veri!H:H,40)</f>
        <v>0</v>
      </c>
      <c r="X20" s="116">
        <f>COUNTIFS(veri!G:G,17,veri!H:H,41)</f>
        <v>0</v>
      </c>
      <c r="Y20" s="116">
        <f>COUNTIFS(veri!G:G,17,veri!H:H,42)</f>
        <v>0</v>
      </c>
      <c r="Z20" s="121">
        <f t="shared" si="0"/>
        <v>0</v>
      </c>
      <c r="AA20" s="14"/>
      <c r="AB20" s="14"/>
      <c r="AC20" s="14"/>
      <c r="AD20" s="14"/>
      <c r="AE20" s="14"/>
    </row>
    <row r="21" spans="1:31" ht="13.5" customHeight="1" x14ac:dyDescent="0.15">
      <c r="A21" s="122" t="s">
        <v>710</v>
      </c>
      <c r="B21" s="123">
        <f>COUNTIFS(veri!G:G,18,veri!H:H,11)</f>
        <v>0</v>
      </c>
      <c r="C21" s="123">
        <f>COUNTIFS(veri!G:G,18,veri!H:H,12)</f>
        <v>0</v>
      </c>
      <c r="D21" s="123">
        <f>COUNTIFS(veri!G:G,18,veri!H:H,13)</f>
        <v>0</v>
      </c>
      <c r="E21" s="123">
        <f>COUNTIFS(veri!G:G,18,veri!H:H,14)</f>
        <v>0</v>
      </c>
      <c r="F21" s="123">
        <f>COUNTIFS(veri!G:G,18,veri!H:H,15)</f>
        <v>0</v>
      </c>
      <c r="G21" s="123">
        <f>COUNTIFS(veri!G:G,18,veri!H:H,16)</f>
        <v>0</v>
      </c>
      <c r="H21" s="123">
        <f>COUNTIFS(veri!G:G,18,veri!H:H,17)</f>
        <v>0</v>
      </c>
      <c r="I21" s="123">
        <f>COUNTIFS(veri!G:G,18,veri!H:H,18)</f>
        <v>0</v>
      </c>
      <c r="J21" s="123">
        <f>COUNTIFS(veri!G:G,18,veri!H:H,19)</f>
        <v>0</v>
      </c>
      <c r="K21" s="123">
        <f>COUNTIFS(veri!G:G,18,veri!H:H,20)</f>
        <v>0</v>
      </c>
      <c r="L21" s="124">
        <f>COUNTIFS(veri!G:G,18,veri!H:H,21)</f>
        <v>0</v>
      </c>
      <c r="M21" s="123">
        <f>COUNTIFS(veri!G:G,18,veri!H:H,22)</f>
        <v>0</v>
      </c>
      <c r="N21" s="123">
        <f>COUNTIFS(veri!G:G,18,veri!H:H,31)</f>
        <v>0</v>
      </c>
      <c r="O21" s="123">
        <f>COUNTIFS(veri!G:G,18,veri!H:H,32)</f>
        <v>0</v>
      </c>
      <c r="P21" s="123">
        <f>COUNTIFS(veri!G:G,18,veri!H:H,33)</f>
        <v>0</v>
      </c>
      <c r="Q21" s="123">
        <f>COUNTIFS(veri!G:G,18,veri!H:H,34)</f>
        <v>0</v>
      </c>
      <c r="R21" s="123">
        <f>COUNTIFS(veri!G:G,18,veri!H:H,35)</f>
        <v>0</v>
      </c>
      <c r="S21" s="123">
        <f>COUNTIFS(veri!G:G,18,veri!H:H,36)</f>
        <v>0</v>
      </c>
      <c r="T21" s="123">
        <f>COUNTIFS(veri!G:G,18,veri!H:H,37)</f>
        <v>0</v>
      </c>
      <c r="U21" s="123">
        <f>COUNTIFS(veri!G:G,18,veri!H:H,38)</f>
        <v>0</v>
      </c>
      <c r="V21" s="123">
        <f>COUNTIFS(veri!G:G,18,veri!H:H,39)</f>
        <v>0</v>
      </c>
      <c r="W21" s="123">
        <f>COUNTIFS(veri!G:G,18,veri!H:H,40)</f>
        <v>0</v>
      </c>
      <c r="X21" s="123">
        <f>COUNTIFS(veri!G:G,18,veri!H:H,41)</f>
        <v>0</v>
      </c>
      <c r="Y21" s="123">
        <f>COUNTIFS(veri!G:G,18,veri!H:H,42)</f>
        <v>0</v>
      </c>
      <c r="Z21" s="121">
        <f t="shared" si="0"/>
        <v>0</v>
      </c>
      <c r="AA21" s="14"/>
      <c r="AB21" s="14"/>
      <c r="AC21" s="14"/>
      <c r="AD21" s="14"/>
      <c r="AE21" s="14"/>
    </row>
    <row r="22" spans="1:31" ht="13.5" customHeight="1" x14ac:dyDescent="0.15">
      <c r="A22" s="120" t="s">
        <v>711</v>
      </c>
      <c r="B22" s="116">
        <f>COUNTIFS(veri!G:G,19,veri!H:H,11)</f>
        <v>0</v>
      </c>
      <c r="C22" s="116">
        <f>COUNTIFS(veri!G:G,19,veri!H:H,12)</f>
        <v>0</v>
      </c>
      <c r="D22" s="116">
        <f>COUNTIFS(veri!G:G,19,veri!H:H,13)</f>
        <v>0</v>
      </c>
      <c r="E22" s="116">
        <f>COUNTIFS(veri!G:G,19,veri!H:H,14)</f>
        <v>0</v>
      </c>
      <c r="F22" s="116">
        <f>COUNTIFS(veri!G:G,19,veri!H:H,15)</f>
        <v>0</v>
      </c>
      <c r="G22" s="116">
        <f>COUNTIFS(veri!G:G,19,veri!H:H,16)</f>
        <v>0</v>
      </c>
      <c r="H22" s="116">
        <f>COUNTIFS(veri!G:G,19,veri!H:H,17)</f>
        <v>0</v>
      </c>
      <c r="I22" s="116">
        <f>COUNTIFS(veri!G:G,19,veri!H:H,18)</f>
        <v>0</v>
      </c>
      <c r="J22" s="116">
        <f>COUNTIFS(veri!G:G,19,veri!H:H,19)</f>
        <v>0</v>
      </c>
      <c r="K22" s="116">
        <f>COUNTIFS(veri!G:G,19,veri!H:H,20)</f>
        <v>0</v>
      </c>
      <c r="L22" s="127">
        <f>COUNTIFS(veri!G:G,19,veri!H:H,21)</f>
        <v>0</v>
      </c>
      <c r="M22" s="116">
        <f>COUNTIFS(veri!G:G,19,veri!H:H,22)</f>
        <v>0</v>
      </c>
      <c r="N22" s="116">
        <f>COUNTIFS(veri!G:G,19,veri!H:H,31)</f>
        <v>0</v>
      </c>
      <c r="O22" s="116">
        <f>COUNTIFS(veri!G:G,19,veri!H:H,32)</f>
        <v>0</v>
      </c>
      <c r="P22" s="116">
        <f>COUNTIFS(veri!G:G,19,veri!H:H,33)</f>
        <v>0</v>
      </c>
      <c r="Q22" s="116">
        <f>COUNTIFS(veri!G:G,19,veri!H:H,34)</f>
        <v>0</v>
      </c>
      <c r="R22" s="116">
        <f>COUNTIFS(veri!G:G,19,veri!H:H,35)</f>
        <v>0</v>
      </c>
      <c r="S22" s="116">
        <f>COUNTIFS(veri!G:G,19,veri!H:H,36)</f>
        <v>0</v>
      </c>
      <c r="T22" s="116">
        <f>COUNTIFS(veri!G:G,19,veri!H:H,37)</f>
        <v>0</v>
      </c>
      <c r="U22" s="116">
        <f>COUNTIFS(veri!G:G,19,veri!H:H,38)</f>
        <v>0</v>
      </c>
      <c r="V22" s="116">
        <f>COUNTIFS(veri!G:G,19,veri!H:H,39)</f>
        <v>0</v>
      </c>
      <c r="W22" s="116">
        <f>COUNTIFS(veri!G:G,19,veri!H:H,40)</f>
        <v>0</v>
      </c>
      <c r="X22" s="116">
        <f>COUNTIFS(veri!G:G,19,veri!H:H,41)</f>
        <v>0</v>
      </c>
      <c r="Y22" s="116">
        <f>COUNTIFS(veri!G:G,19,veri!H:H,42)</f>
        <v>0</v>
      </c>
      <c r="Z22" s="121">
        <f t="shared" si="0"/>
        <v>0</v>
      </c>
      <c r="AA22" s="14"/>
      <c r="AB22" s="14"/>
      <c r="AC22" s="14"/>
      <c r="AD22" s="14"/>
      <c r="AE22" s="14"/>
    </row>
    <row r="23" spans="1:31" ht="13.5" customHeight="1" x14ac:dyDescent="0.15">
      <c r="A23" s="122" t="s">
        <v>712</v>
      </c>
      <c r="B23" s="123">
        <f>COUNTIFS(veri!G:G,20,veri!H:H,11)</f>
        <v>0</v>
      </c>
      <c r="C23" s="123">
        <f>COUNTIFS(veri!G:G,20,veri!H:H,12)</f>
        <v>0</v>
      </c>
      <c r="D23" s="123">
        <f>COUNTIFS(veri!G:G,20,veri!H:H,13)</f>
        <v>0</v>
      </c>
      <c r="E23" s="123">
        <f>COUNTIFS(veri!G:G,20,veri!H:H,14)</f>
        <v>0</v>
      </c>
      <c r="F23" s="123">
        <f>COUNTIFS(veri!G:G,20,veri!H:H,15)</f>
        <v>0</v>
      </c>
      <c r="G23" s="123">
        <f>COUNTIFS(veri!G:G,20,veri!H:H,16)</f>
        <v>0</v>
      </c>
      <c r="H23" s="123">
        <f>COUNTIFS(veri!G:G,20,veri!H:H,17)</f>
        <v>0</v>
      </c>
      <c r="I23" s="123">
        <f>COUNTIFS(veri!G:G,20,veri!H:H,18)</f>
        <v>0</v>
      </c>
      <c r="J23" s="123">
        <f>COUNTIFS(veri!G:G,20,veri!H:H,19)</f>
        <v>0</v>
      </c>
      <c r="K23" s="123">
        <f>COUNTIFS(veri!G:G,20,veri!H:H,20)</f>
        <v>0</v>
      </c>
      <c r="L23" s="124">
        <f>COUNTIFS(veri!G:G,20,veri!H:H,21)</f>
        <v>0</v>
      </c>
      <c r="M23" s="123">
        <f>COUNTIFS(veri!G:G,20,veri!H:H,22)</f>
        <v>0</v>
      </c>
      <c r="N23" s="123">
        <f>COUNTIFS(veri!G:G,20,veri!H:H,31)</f>
        <v>0</v>
      </c>
      <c r="O23" s="123">
        <f>COUNTIFS(veri!G:G,20,veri!H:H,32)</f>
        <v>0</v>
      </c>
      <c r="P23" s="123">
        <f>COUNTIFS(veri!G:G,20,veri!H:H,33)</f>
        <v>0</v>
      </c>
      <c r="Q23" s="123">
        <f>COUNTIFS(veri!G:G,20,veri!H:H,34)</f>
        <v>0</v>
      </c>
      <c r="R23" s="123">
        <f>COUNTIFS(veri!G:G,20,veri!H:H,35)</f>
        <v>0</v>
      </c>
      <c r="S23" s="123">
        <f>COUNTIFS(veri!G:G,20,veri!H:H,36)</f>
        <v>0</v>
      </c>
      <c r="T23" s="123">
        <f>COUNTIFS(veri!G:G,20,veri!H:H,37)</f>
        <v>0</v>
      </c>
      <c r="U23" s="123">
        <f>COUNTIFS(veri!G:G,20,veri!H:H,38)</f>
        <v>0</v>
      </c>
      <c r="V23" s="123">
        <f>COUNTIFS(veri!G:G,20,veri!H:H,39)</f>
        <v>0</v>
      </c>
      <c r="W23" s="123">
        <f>COUNTIFS(veri!G:G,20,veri!H:H,40)</f>
        <v>0</v>
      </c>
      <c r="X23" s="123">
        <f>COUNTIFS(veri!G:G,20,veri!H:H,41)</f>
        <v>0</v>
      </c>
      <c r="Y23" s="123">
        <f>COUNTIFS(veri!G:G,20,veri!H:H,42)</f>
        <v>0</v>
      </c>
      <c r="Z23" s="121">
        <f t="shared" si="0"/>
        <v>0</v>
      </c>
      <c r="AA23" s="14"/>
      <c r="AB23" s="14"/>
      <c r="AC23" s="14"/>
      <c r="AD23" s="14"/>
      <c r="AE23" s="14"/>
    </row>
    <row r="24" spans="1:31" ht="13.5" customHeight="1" x14ac:dyDescent="0.15">
      <c r="A24" s="120" t="s">
        <v>713</v>
      </c>
      <c r="B24" s="116">
        <f>COUNTIFS(veri!G:G,21,veri!H:H,11)</f>
        <v>0</v>
      </c>
      <c r="C24" s="116">
        <f>COUNTIFS(veri!G:G,21,veri!H:H,12)</f>
        <v>0</v>
      </c>
      <c r="D24" s="116">
        <f>COUNTIFS(veri!G:G,21,veri!H:H,13)</f>
        <v>0</v>
      </c>
      <c r="E24" s="116">
        <f>COUNTIFS(veri!G:G,21,veri!H:H,14)</f>
        <v>0</v>
      </c>
      <c r="F24" s="116">
        <f>COUNTIFS(veri!G:G,21,veri!H:H,15)</f>
        <v>0</v>
      </c>
      <c r="G24" s="116">
        <f>COUNTIFS(veri!G:G,21,veri!H:H,16)</f>
        <v>0</v>
      </c>
      <c r="H24" s="116">
        <f>COUNTIFS(veri!G:G,21,veri!H:H,17)</f>
        <v>0</v>
      </c>
      <c r="I24" s="116">
        <f>COUNTIFS(veri!G:G,21,veri!H:H,18)</f>
        <v>0</v>
      </c>
      <c r="J24" s="116">
        <f>COUNTIFS(veri!G:G,21,veri!H:H,19)</f>
        <v>0</v>
      </c>
      <c r="K24" s="116">
        <f>COUNTIFS(veri!G:G,21,veri!H:H,20)</f>
        <v>0</v>
      </c>
      <c r="L24" s="127">
        <f>COUNTIFS(veri!G:G,21,veri!H:H,21)</f>
        <v>0</v>
      </c>
      <c r="M24" s="116">
        <f>COUNTIFS(veri!G:G,21,veri!H:H,22)</f>
        <v>0</v>
      </c>
      <c r="N24" s="116">
        <f>COUNTIFS(veri!G:G,21,veri!H:H,31)</f>
        <v>0</v>
      </c>
      <c r="O24" s="116">
        <f>COUNTIFS(veri!G:G,21,veri!H:H,32)</f>
        <v>0</v>
      </c>
      <c r="P24" s="116">
        <f>COUNTIFS(veri!G:G,21,veri!H:H,33)</f>
        <v>0</v>
      </c>
      <c r="Q24" s="116">
        <f>COUNTIFS(veri!G:G,21,veri!H:H,34)</f>
        <v>0</v>
      </c>
      <c r="R24" s="116">
        <f>COUNTIFS(veri!G:G,21,veri!H:H,35)</f>
        <v>0</v>
      </c>
      <c r="S24" s="116">
        <f>COUNTIFS(veri!G:G,21,veri!H:H,36)</f>
        <v>0</v>
      </c>
      <c r="T24" s="116">
        <f>COUNTIFS(veri!G:G,21,veri!H:H,37)</f>
        <v>0</v>
      </c>
      <c r="U24" s="116">
        <f>COUNTIFS(veri!G:G,21,veri!H:H,38)</f>
        <v>0</v>
      </c>
      <c r="V24" s="116">
        <f>COUNTIFS(veri!G:G,21,veri!H:H,39)</f>
        <v>0</v>
      </c>
      <c r="W24" s="116">
        <f>COUNTIFS(veri!G:G,21,veri!H:H,40)</f>
        <v>0</v>
      </c>
      <c r="X24" s="116">
        <f>COUNTIFS(veri!G:G,21,veri!H:H,41)</f>
        <v>0</v>
      </c>
      <c r="Y24" s="116">
        <f>COUNTIFS(veri!G:G,21,veri!H:H,42)</f>
        <v>0</v>
      </c>
      <c r="Z24" s="121">
        <f t="shared" si="0"/>
        <v>0</v>
      </c>
      <c r="AA24" s="14"/>
      <c r="AB24" s="14"/>
      <c r="AC24" s="14"/>
      <c r="AD24" s="14"/>
      <c r="AE24" s="14"/>
    </row>
    <row r="25" spans="1:31" ht="13.5" customHeight="1" x14ac:dyDescent="0.15">
      <c r="A25" s="122" t="s">
        <v>714</v>
      </c>
      <c r="B25" s="123">
        <f>COUNTIFS(veri!G:G,22,veri!H:H,11)</f>
        <v>0</v>
      </c>
      <c r="C25" s="123">
        <f>COUNTIFS(veri!G:G,22,veri!H:H,12)</f>
        <v>0</v>
      </c>
      <c r="D25" s="123">
        <f>COUNTIFS(veri!G:G,22,veri!H:H,13)</f>
        <v>0</v>
      </c>
      <c r="E25" s="123">
        <f>COUNTIFS(veri!G:G,22,veri!H:H,14)</f>
        <v>0</v>
      </c>
      <c r="F25" s="123">
        <f>COUNTIFS(veri!G:G,22,veri!H:H,15)</f>
        <v>0</v>
      </c>
      <c r="G25" s="123">
        <f>COUNTIFS(veri!G:G,22,veri!H:H,16)</f>
        <v>0</v>
      </c>
      <c r="H25" s="123">
        <f>COUNTIFS(veri!G:G,22,veri!H:H,17)</f>
        <v>0</v>
      </c>
      <c r="I25" s="123">
        <f>COUNTIFS(veri!G:G,22,veri!H:H,18)</f>
        <v>0</v>
      </c>
      <c r="J25" s="123">
        <f>COUNTIFS(veri!G:G,22,veri!H:H,19)</f>
        <v>0</v>
      </c>
      <c r="K25" s="123">
        <f>COUNTIFS(veri!G:G,22,veri!H:H,20)</f>
        <v>0</v>
      </c>
      <c r="L25" s="124">
        <f>COUNTIFS(veri!G:G,22,veri!H:H,21)</f>
        <v>0</v>
      </c>
      <c r="M25" s="123">
        <f>COUNTIFS(veri!G:G,22,veri!H:H,22)</f>
        <v>0</v>
      </c>
      <c r="N25" s="123">
        <f>COUNTIFS(veri!G:G,22,veri!H:H,31)</f>
        <v>0</v>
      </c>
      <c r="O25" s="123">
        <f>COUNTIFS(veri!G:G,22,veri!H:H,32)</f>
        <v>0</v>
      </c>
      <c r="P25" s="123">
        <f>COUNTIFS(veri!G:G,22,veri!H:H,33)</f>
        <v>0</v>
      </c>
      <c r="Q25" s="123">
        <f>COUNTIFS(veri!G:G,22,veri!H:H,34)</f>
        <v>0</v>
      </c>
      <c r="R25" s="123">
        <f>COUNTIFS(veri!G:G,22,veri!H:H,35)</f>
        <v>0</v>
      </c>
      <c r="S25" s="123">
        <f>COUNTIFS(veri!G:G,22,veri!H:H,36)</f>
        <v>0</v>
      </c>
      <c r="T25" s="123">
        <f>COUNTIFS(veri!G:G,22,veri!H:H,37)</f>
        <v>0</v>
      </c>
      <c r="U25" s="123">
        <f>COUNTIFS(veri!G:G,22,veri!H:H,38)</f>
        <v>0</v>
      </c>
      <c r="V25" s="123">
        <f>COUNTIFS(veri!G:G,22,veri!H:H,39)</f>
        <v>0</v>
      </c>
      <c r="W25" s="123">
        <f>COUNTIFS(veri!G:G,22,veri!H:H,40)</f>
        <v>0</v>
      </c>
      <c r="X25" s="123">
        <f>COUNTIFS(veri!G:G,22,veri!H:H,41)</f>
        <v>0</v>
      </c>
      <c r="Y25" s="123">
        <f>COUNTIFS(veri!G:G,22,veri!H:H,42)</f>
        <v>0</v>
      </c>
      <c r="Z25" s="121">
        <f t="shared" si="0"/>
        <v>0</v>
      </c>
      <c r="AA25" s="14"/>
      <c r="AB25" s="14"/>
      <c r="AC25" s="14"/>
      <c r="AD25" s="14"/>
      <c r="AE25" s="14"/>
    </row>
    <row r="26" spans="1:31" ht="13.5" customHeight="1" x14ac:dyDescent="0.15">
      <c r="A26" s="120" t="s">
        <v>715</v>
      </c>
      <c r="B26" s="116">
        <f>COUNTIFS(veri!G:G,23,veri!H:H,11)</f>
        <v>0</v>
      </c>
      <c r="C26" s="116">
        <f>COUNTIFS(veri!G:G,23,veri!H:H,12)</f>
        <v>0</v>
      </c>
      <c r="D26" s="116">
        <f>COUNTIFS(veri!G:G,23,veri!H:H,13)</f>
        <v>0</v>
      </c>
      <c r="E26" s="116">
        <f>COUNTIFS(veri!G:G,23,veri!H:H,14)</f>
        <v>0</v>
      </c>
      <c r="F26" s="116">
        <f>COUNTIFS(veri!G:G,23,veri!H:H,15)</f>
        <v>0</v>
      </c>
      <c r="G26" s="116">
        <f>COUNTIFS(veri!G:G,23,veri!H:H,16)</f>
        <v>0</v>
      </c>
      <c r="H26" s="116">
        <f>COUNTIFS(veri!G:G,23,veri!H:H,17)</f>
        <v>0</v>
      </c>
      <c r="I26" s="116">
        <f>COUNTIFS(veri!G:G,23,veri!H:H,18)</f>
        <v>0</v>
      </c>
      <c r="J26" s="116">
        <f>COUNTIFS(veri!G:G,23,veri!H:H,19)</f>
        <v>0</v>
      </c>
      <c r="K26" s="116">
        <f>COUNTIFS(veri!G:G,23,veri!H:H,20)</f>
        <v>0</v>
      </c>
      <c r="L26" s="127">
        <f>COUNTIFS(veri!G:G,23,veri!H:H,21)</f>
        <v>0</v>
      </c>
      <c r="M26" s="116">
        <f>COUNTIFS(veri!G:G,23,veri!H:H,22)</f>
        <v>0</v>
      </c>
      <c r="N26" s="116">
        <f>COUNTIFS(veri!G:G,23,veri!H:H,31)</f>
        <v>0</v>
      </c>
      <c r="O26" s="116">
        <f>COUNTIFS(veri!G:G,23,veri!H:H,32)</f>
        <v>0</v>
      </c>
      <c r="P26" s="116">
        <f>COUNTIFS(veri!G:G,23,veri!H:H,33)</f>
        <v>0</v>
      </c>
      <c r="Q26" s="116">
        <f>COUNTIFS(veri!G:G,23,veri!H:H,34)</f>
        <v>0</v>
      </c>
      <c r="R26" s="116">
        <f>COUNTIFS(veri!G:G,23,veri!H:H,35)</f>
        <v>0</v>
      </c>
      <c r="S26" s="116">
        <f>COUNTIFS(veri!G:G,23,veri!H:H,36)</f>
        <v>0</v>
      </c>
      <c r="T26" s="116">
        <f>COUNTIFS(veri!G:G,23,veri!H:H,37)</f>
        <v>0</v>
      </c>
      <c r="U26" s="116">
        <f>COUNTIFS(veri!G:G,23,veri!H:H,38)</f>
        <v>0</v>
      </c>
      <c r="V26" s="116">
        <f>COUNTIFS(veri!G:G,23,veri!H:H,39)</f>
        <v>0</v>
      </c>
      <c r="W26" s="116">
        <f>COUNTIFS(veri!G:G,23,veri!H:H,40)</f>
        <v>0</v>
      </c>
      <c r="X26" s="116">
        <f>COUNTIFS(veri!G:G,23,veri!H:H,41)</f>
        <v>0</v>
      </c>
      <c r="Y26" s="116">
        <f>COUNTIFS(veri!G:G,23,veri!H:H,42)</f>
        <v>0</v>
      </c>
      <c r="Z26" s="121">
        <f t="shared" si="0"/>
        <v>0</v>
      </c>
      <c r="AA26" s="14"/>
      <c r="AB26" s="14"/>
      <c r="AC26" s="14"/>
      <c r="AD26" s="14"/>
      <c r="AE26" s="14"/>
    </row>
    <row r="27" spans="1:31" ht="13.5" customHeight="1" x14ac:dyDescent="0.15">
      <c r="A27" s="122" t="s">
        <v>716</v>
      </c>
      <c r="B27" s="123">
        <f>COUNTIFS(veri!G:G,24,veri!H:H,11)</f>
        <v>0</v>
      </c>
      <c r="C27" s="123">
        <f>COUNTIFS(veri!G:G,24,veri!H:H,12)</f>
        <v>0</v>
      </c>
      <c r="D27" s="123">
        <f>COUNTIFS(veri!G:G,24,veri!H:H,13)</f>
        <v>0</v>
      </c>
      <c r="E27" s="123">
        <f>COUNTIFS(veri!G:G,24,veri!H:H,14)</f>
        <v>0</v>
      </c>
      <c r="F27" s="123">
        <f>COUNTIFS(veri!G:G,24,veri!H:H,15)</f>
        <v>0</v>
      </c>
      <c r="G27" s="123">
        <f>COUNTIFS(veri!G:G,24,veri!H:H,16)</f>
        <v>0</v>
      </c>
      <c r="H27" s="123">
        <f>COUNTIFS(veri!G:G,24,veri!H:H,17)</f>
        <v>0</v>
      </c>
      <c r="I27" s="123">
        <f>COUNTIFS(veri!G:G,24,veri!H:H,18)</f>
        <v>0</v>
      </c>
      <c r="J27" s="123">
        <f>COUNTIFS(veri!G:G,24,veri!H:H,19)</f>
        <v>0</v>
      </c>
      <c r="K27" s="123">
        <f>COUNTIFS(veri!G:G,24,veri!H:H,20)</f>
        <v>0</v>
      </c>
      <c r="L27" s="124">
        <f>COUNTIFS(veri!G:G,24,veri!H:H,21)</f>
        <v>0</v>
      </c>
      <c r="M27" s="123">
        <f>COUNTIFS(veri!G:G,24,veri!H:H,22)</f>
        <v>0</v>
      </c>
      <c r="N27" s="123">
        <f>COUNTIFS(veri!G:G,24,veri!H:H,31)</f>
        <v>0</v>
      </c>
      <c r="O27" s="123">
        <f>COUNTIFS(veri!G:G,24,veri!H:H,32)</f>
        <v>0</v>
      </c>
      <c r="P27" s="123">
        <f>COUNTIFS(veri!G:G,24,veri!H:H,33)</f>
        <v>0</v>
      </c>
      <c r="Q27" s="123">
        <f>COUNTIFS(veri!G:G,24,veri!H:H,34)</f>
        <v>0</v>
      </c>
      <c r="R27" s="123">
        <f>COUNTIFS(veri!G:G,24,veri!H:H,35)</f>
        <v>0</v>
      </c>
      <c r="S27" s="123">
        <f>COUNTIFS(veri!G:G,24,veri!H:H,36)</f>
        <v>0</v>
      </c>
      <c r="T27" s="123">
        <f>COUNTIFS(veri!G:G,24,veri!H:H,37)</f>
        <v>0</v>
      </c>
      <c r="U27" s="123">
        <f>COUNTIFS(veri!G:G,24,veri!H:H,38)</f>
        <v>0</v>
      </c>
      <c r="V27" s="123">
        <f>COUNTIFS(veri!G:G,24,veri!H:H,39)</f>
        <v>0</v>
      </c>
      <c r="W27" s="123">
        <f>COUNTIFS(veri!G:G,24,veri!H:H,40)</f>
        <v>0</v>
      </c>
      <c r="X27" s="123">
        <f>COUNTIFS(veri!G:G,24,veri!H:H,41)</f>
        <v>0</v>
      </c>
      <c r="Y27" s="123">
        <f>COUNTIFS(veri!G:G,24,veri!H:H,42)</f>
        <v>0</v>
      </c>
      <c r="Z27" s="121">
        <f t="shared" si="0"/>
        <v>0</v>
      </c>
      <c r="AA27" s="14"/>
      <c r="AB27" s="14"/>
      <c r="AC27" s="14"/>
      <c r="AD27" s="14"/>
      <c r="AE27" s="14"/>
    </row>
    <row r="28" spans="1:31" ht="13.5" customHeight="1" x14ac:dyDescent="0.15">
      <c r="A28" s="120" t="s">
        <v>717</v>
      </c>
      <c r="B28" s="116">
        <f>COUNTIFS(veri!G:G,25,veri!H:H,11)</f>
        <v>0</v>
      </c>
      <c r="C28" s="116">
        <f>COUNTIFS(veri!G:G,25,veri!H:H,12)</f>
        <v>0</v>
      </c>
      <c r="D28" s="116">
        <f>COUNTIFS(veri!G:G,25,veri!H:H,13)</f>
        <v>0</v>
      </c>
      <c r="E28" s="116">
        <f>COUNTIFS(veri!G:G,25,veri!H:H,14)</f>
        <v>0</v>
      </c>
      <c r="F28" s="116">
        <f>COUNTIFS(veri!G:G,25,veri!H:H,15)</f>
        <v>0</v>
      </c>
      <c r="G28" s="116">
        <f>COUNTIFS(veri!G:G,25,veri!H:H,16)</f>
        <v>0</v>
      </c>
      <c r="H28" s="116">
        <f>COUNTIFS(veri!G:G,25,veri!H:H,17)</f>
        <v>0</v>
      </c>
      <c r="I28" s="116">
        <f>COUNTIFS(veri!G:G,25,veri!H:H,18)</f>
        <v>0</v>
      </c>
      <c r="J28" s="116">
        <f>COUNTIFS(veri!G:G,25,veri!H:H,19)</f>
        <v>0</v>
      </c>
      <c r="K28" s="116">
        <f>COUNTIFS(veri!G:G,25,veri!H:H,20)</f>
        <v>0</v>
      </c>
      <c r="L28" s="127">
        <f>COUNTIFS(veri!G:G,25,veri!H:H,21)</f>
        <v>0</v>
      </c>
      <c r="M28" s="116">
        <f>COUNTIFS(veri!G:G,25,veri!H:H,22)</f>
        <v>0</v>
      </c>
      <c r="N28" s="116">
        <f>COUNTIFS(veri!G:G,25,veri!H:H,31)</f>
        <v>0</v>
      </c>
      <c r="O28" s="116">
        <f>COUNTIFS(veri!G:G,25,veri!H:H,32)</f>
        <v>0</v>
      </c>
      <c r="P28" s="116">
        <f>COUNTIFS(veri!G:G,25,veri!H:H,33)</f>
        <v>0</v>
      </c>
      <c r="Q28" s="116">
        <f>COUNTIFS(veri!G:G,25,veri!H:H,34)</f>
        <v>0</v>
      </c>
      <c r="R28" s="116">
        <f>COUNTIFS(veri!G:G,25,veri!H:H,35)</f>
        <v>0</v>
      </c>
      <c r="S28" s="116">
        <f>COUNTIFS(veri!G:G,25,veri!H:H,36)</f>
        <v>0</v>
      </c>
      <c r="T28" s="116">
        <f>COUNTIFS(veri!G:G,25,veri!H:H,37)</f>
        <v>0</v>
      </c>
      <c r="U28" s="116">
        <f>COUNTIFS(veri!G:G,25,veri!H:H,38)</f>
        <v>0</v>
      </c>
      <c r="V28" s="116">
        <f>COUNTIFS(veri!G:G,25,veri!H:H,39)</f>
        <v>0</v>
      </c>
      <c r="W28" s="116">
        <f>COUNTIFS(veri!G:G,25,veri!H:H,40)</f>
        <v>0</v>
      </c>
      <c r="X28" s="116">
        <f>COUNTIFS(veri!G:G,25,veri!H:H,41)</f>
        <v>0</v>
      </c>
      <c r="Y28" s="116">
        <f>COUNTIFS(veri!G:G,25,veri!H:H,42)</f>
        <v>0</v>
      </c>
      <c r="Z28" s="121">
        <f t="shared" si="0"/>
        <v>0</v>
      </c>
      <c r="AA28" s="14"/>
      <c r="AB28" s="14"/>
      <c r="AC28" s="14"/>
      <c r="AD28" s="14"/>
      <c r="AE28" s="14"/>
    </row>
    <row r="29" spans="1:31" ht="13.5" customHeight="1" x14ac:dyDescent="0.15">
      <c r="A29" s="122" t="s">
        <v>718</v>
      </c>
      <c r="B29" s="123">
        <f>COUNTIFS(veri!G:G,26,veri!H:H,11)</f>
        <v>0</v>
      </c>
      <c r="C29" s="123">
        <f>COUNTIFS(veri!G:G,26,veri!H:H,12)</f>
        <v>0</v>
      </c>
      <c r="D29" s="123">
        <f>COUNTIFS(veri!G:G,26,veri!H:H,13)</f>
        <v>0</v>
      </c>
      <c r="E29" s="123">
        <f>COUNTIFS(veri!G:G,26,veri!H:H,14)</f>
        <v>0</v>
      </c>
      <c r="F29" s="123">
        <f>COUNTIFS(veri!G:G,26,veri!H:H,15)</f>
        <v>0</v>
      </c>
      <c r="G29" s="123">
        <f>COUNTIFS(veri!G:G,26,veri!H:H,16)</f>
        <v>0</v>
      </c>
      <c r="H29" s="123">
        <f>COUNTIFS(veri!G:G,26,veri!H:H,17)</f>
        <v>0</v>
      </c>
      <c r="I29" s="123">
        <f>COUNTIFS(veri!G:G,26,veri!H:H,18)</f>
        <v>0</v>
      </c>
      <c r="J29" s="123">
        <f>COUNTIFS(veri!G:G,26,veri!H:H,19)</f>
        <v>0</v>
      </c>
      <c r="K29" s="123">
        <f>COUNTIFS(veri!G:G,26,veri!H:H,20)</f>
        <v>0</v>
      </c>
      <c r="L29" s="124">
        <f>COUNTIFS(veri!G:G,26,veri!H:H,21)</f>
        <v>0</v>
      </c>
      <c r="M29" s="123">
        <f>COUNTIFS(veri!G:G,26,veri!H:H,22)</f>
        <v>0</v>
      </c>
      <c r="N29" s="123">
        <f>COUNTIFS(veri!G:G,26,veri!H:H,31)</f>
        <v>0</v>
      </c>
      <c r="O29" s="123">
        <f>COUNTIFS(veri!G:G,26,veri!H:H,32)</f>
        <v>0</v>
      </c>
      <c r="P29" s="123">
        <f>COUNTIFS(veri!G:G,26,veri!H:H,33)</f>
        <v>0</v>
      </c>
      <c r="Q29" s="123">
        <f>COUNTIFS(veri!G:G,26,veri!H:H,34)</f>
        <v>0</v>
      </c>
      <c r="R29" s="123">
        <f>COUNTIFS(veri!G:G,26,veri!H:H,35)</f>
        <v>0</v>
      </c>
      <c r="S29" s="123">
        <f>COUNTIFS(veri!G:G,26,veri!H:H,36)</f>
        <v>0</v>
      </c>
      <c r="T29" s="123">
        <f>COUNTIFS(veri!G:G,26,veri!H:H,37)</f>
        <v>0</v>
      </c>
      <c r="U29" s="123">
        <f>COUNTIFS(veri!G:G,26,veri!H:H,38)</f>
        <v>0</v>
      </c>
      <c r="V29" s="123">
        <f>COUNTIFS(veri!G:G,26,veri!H:H,39)</f>
        <v>0</v>
      </c>
      <c r="W29" s="123">
        <f>COUNTIFS(veri!G:G,26,veri!H:H,40)</f>
        <v>0</v>
      </c>
      <c r="X29" s="123">
        <f>COUNTIFS(veri!G:G,26,veri!H:H,41)</f>
        <v>0</v>
      </c>
      <c r="Y29" s="123">
        <f>COUNTIFS(veri!G:G,26,veri!H:H,42)</f>
        <v>0</v>
      </c>
      <c r="Z29" s="121">
        <f t="shared" si="0"/>
        <v>0</v>
      </c>
      <c r="AA29" s="14"/>
      <c r="AB29" s="14"/>
      <c r="AC29" s="14"/>
      <c r="AD29" s="14"/>
      <c r="AE29" s="14"/>
    </row>
    <row r="30" spans="1:31" ht="13.5" customHeight="1" x14ac:dyDescent="0.15">
      <c r="A30" s="120" t="s">
        <v>719</v>
      </c>
      <c r="B30" s="116">
        <f>COUNTIFS(veri!G:G,51,veri!H:H,11)</f>
        <v>0</v>
      </c>
      <c r="C30" s="116">
        <f>COUNTIFS(veri!G:G,51,veri!H:H,12)</f>
        <v>0</v>
      </c>
      <c r="D30" s="116">
        <f>COUNTIFS(veri!G:G,51,veri!H:H,13)</f>
        <v>0</v>
      </c>
      <c r="E30" s="116">
        <f>COUNTIFS(veri!G:G,51,veri!H:H,14)</f>
        <v>0</v>
      </c>
      <c r="F30" s="116">
        <f>COUNTIFS(veri!G:G,51,veri!H:H,15)</f>
        <v>0</v>
      </c>
      <c r="G30" s="116">
        <f>COUNTIFS(veri!G:G,51,veri!H:H,16)</f>
        <v>0</v>
      </c>
      <c r="H30" s="116">
        <f>COUNTIFS(veri!G:G,51,veri!H:H,17)</f>
        <v>0</v>
      </c>
      <c r="I30" s="116">
        <f>COUNTIFS(veri!G:G,51,veri!H:H,18)</f>
        <v>0</v>
      </c>
      <c r="J30" s="116">
        <f>COUNTIFS(veri!G:G,51,veri!H:H,19)</f>
        <v>0</v>
      </c>
      <c r="K30" s="116">
        <f>COUNTIFS(veri!G:G,51,veri!H:H,20)</f>
        <v>0</v>
      </c>
      <c r="L30" s="127">
        <f>COUNTIFS(veri!G:G,51,veri!H:H,21)</f>
        <v>0</v>
      </c>
      <c r="M30" s="116">
        <f>COUNTIFS(veri!G:G,51,veri!H:H,22)</f>
        <v>0</v>
      </c>
      <c r="N30" s="116">
        <f>COUNTIFS(veri!G:G,51,veri!H:H,31)</f>
        <v>0</v>
      </c>
      <c r="O30" s="116">
        <f>COUNTIFS(veri!G:G,51,veri!H:H,32)</f>
        <v>0</v>
      </c>
      <c r="P30" s="116">
        <f>COUNTIFS(veri!G:G,51,veri!H:H,33)</f>
        <v>0</v>
      </c>
      <c r="Q30" s="116">
        <f>COUNTIFS(veri!G:G,51,veri!H:H,34)</f>
        <v>0</v>
      </c>
      <c r="R30" s="116">
        <f>COUNTIFS(veri!G:G,51,veri!H:H,35)</f>
        <v>0</v>
      </c>
      <c r="S30" s="116">
        <f>COUNTIFS(veri!G:G,51,veri!H:H,36)</f>
        <v>0</v>
      </c>
      <c r="T30" s="116">
        <f>COUNTIFS(veri!G:G,51,veri!H:H,37)</f>
        <v>0</v>
      </c>
      <c r="U30" s="116">
        <f>COUNTIFS(veri!G:G,51,veri!H:H,38)</f>
        <v>0</v>
      </c>
      <c r="V30" s="116">
        <f>COUNTIFS(veri!G:G,51,veri!H:H,39)</f>
        <v>0</v>
      </c>
      <c r="W30" s="116">
        <f>COUNTIFS(veri!G:G,51,veri!H:H,40)</f>
        <v>0</v>
      </c>
      <c r="X30" s="116">
        <f>COUNTIFS(veri!G:G,51,veri!H:H,41)</f>
        <v>0</v>
      </c>
      <c r="Y30" s="116">
        <f>COUNTIFS(veri!G:G,51,veri!H:H,42)</f>
        <v>0</v>
      </c>
      <c r="Z30" s="121">
        <f t="shared" si="0"/>
        <v>0</v>
      </c>
      <c r="AA30" s="14"/>
      <c r="AB30" s="14"/>
      <c r="AC30" s="14"/>
      <c r="AD30" s="14"/>
      <c r="AE30" s="14"/>
    </row>
    <row r="31" spans="1:31" ht="13.5" customHeight="1" x14ac:dyDescent="0.15">
      <c r="A31" s="122" t="s">
        <v>720</v>
      </c>
      <c r="B31" s="123">
        <f>COUNTIFS(veri!G:G,52,veri!H:H,11)</f>
        <v>0</v>
      </c>
      <c r="C31" s="123">
        <f>COUNTIFS(veri!G:G,52,veri!H:H,12)</f>
        <v>0</v>
      </c>
      <c r="D31" s="123">
        <f>COUNTIFS(veri!G:G,52,veri!H:H,13)</f>
        <v>0</v>
      </c>
      <c r="E31" s="123">
        <f>COUNTIFS(veri!G:G,52,veri!H:H,14)</f>
        <v>0</v>
      </c>
      <c r="F31" s="123">
        <f>COUNTIFS(veri!G:G,52,veri!H:H,15)</f>
        <v>0</v>
      </c>
      <c r="G31" s="123">
        <f>COUNTIFS(veri!G:G,52,veri!H:H,16)</f>
        <v>0</v>
      </c>
      <c r="H31" s="123">
        <f>COUNTIFS(veri!G:G,52,veri!H:H,17)</f>
        <v>0</v>
      </c>
      <c r="I31" s="123">
        <f>COUNTIFS(veri!G:G,52,veri!H:H,18)</f>
        <v>0</v>
      </c>
      <c r="J31" s="123">
        <f>COUNTIFS(veri!G:G,52,veri!H:H,19)</f>
        <v>0</v>
      </c>
      <c r="K31" s="123">
        <f>COUNTIFS(veri!G:G,52,veri!H:H,20)</f>
        <v>0</v>
      </c>
      <c r="L31" s="124">
        <f>COUNTIFS(veri!G:G,52,veri!H:H,21)</f>
        <v>0</v>
      </c>
      <c r="M31" s="123">
        <f>COUNTIFS(veri!G:G,52,veri!H:H,22)</f>
        <v>0</v>
      </c>
      <c r="N31" s="123">
        <f>COUNTIFS(veri!G:G,52,veri!H:H,31)</f>
        <v>0</v>
      </c>
      <c r="O31" s="123">
        <f>COUNTIFS(veri!G:G,52,veri!H:H,32)</f>
        <v>0</v>
      </c>
      <c r="P31" s="123">
        <f>COUNTIFS(veri!G:G,52,veri!H:H,33)</f>
        <v>0</v>
      </c>
      <c r="Q31" s="123">
        <f>COUNTIFS(veri!G:G,52,veri!H:H,34)</f>
        <v>0</v>
      </c>
      <c r="R31" s="123">
        <f>COUNTIFS(veri!G:G,52,veri!H:H,35)</f>
        <v>0</v>
      </c>
      <c r="S31" s="123">
        <f>COUNTIFS(veri!G:G,52,veri!H:H,36)</f>
        <v>0</v>
      </c>
      <c r="T31" s="123">
        <f>COUNTIFS(veri!G:G,52,veri!H:H,37)</f>
        <v>0</v>
      </c>
      <c r="U31" s="123">
        <f>COUNTIFS(veri!G:G,52,veri!H:H,38)</f>
        <v>0</v>
      </c>
      <c r="V31" s="123">
        <f>COUNTIFS(veri!G:G,52,veri!H:H,39)</f>
        <v>0</v>
      </c>
      <c r="W31" s="123">
        <f>COUNTIFS(veri!G:G,52,veri!H:H,40)</f>
        <v>0</v>
      </c>
      <c r="X31" s="123">
        <f>COUNTIFS(veri!G:G,52,veri!H:H,41)</f>
        <v>0</v>
      </c>
      <c r="Y31" s="123">
        <f>COUNTIFS(veri!G:G,52,veri!H:H,42)</f>
        <v>0</v>
      </c>
      <c r="Z31" s="121">
        <f t="shared" si="0"/>
        <v>0</v>
      </c>
      <c r="AA31" s="14"/>
      <c r="AB31" s="14"/>
      <c r="AC31" s="14"/>
      <c r="AD31" s="14"/>
      <c r="AE31" s="14"/>
    </row>
    <row r="32" spans="1:31" ht="13.5" customHeight="1" x14ac:dyDescent="0.15">
      <c r="A32" s="120" t="s">
        <v>721</v>
      </c>
      <c r="B32" s="116">
        <f>COUNTIFS(veri!G:G,53,veri!H:H,11)</f>
        <v>0</v>
      </c>
      <c r="C32" s="116">
        <f>COUNTIFS(veri!G:G,53,veri!H:H,12)</f>
        <v>0</v>
      </c>
      <c r="D32" s="116">
        <f>COUNTIFS(veri!G:G,53,veri!H:H,13)</f>
        <v>0</v>
      </c>
      <c r="E32" s="116">
        <f>COUNTIFS(veri!G:G,53,veri!H:H,14)</f>
        <v>0</v>
      </c>
      <c r="F32" s="116">
        <f>COUNTIFS(veri!G:G,53,veri!H:H,15)</f>
        <v>0</v>
      </c>
      <c r="G32" s="116">
        <f>COUNTIFS(veri!G:G,53,veri!H:H,16)</f>
        <v>0</v>
      </c>
      <c r="H32" s="116">
        <f>COUNTIFS(veri!G:G,53,veri!H:H,17)</f>
        <v>0</v>
      </c>
      <c r="I32" s="116">
        <f>COUNTIFS(veri!G:G,53,veri!H:H,18)</f>
        <v>0</v>
      </c>
      <c r="J32" s="116">
        <f>COUNTIFS(veri!G:G,53,veri!H:H,19)</f>
        <v>0</v>
      </c>
      <c r="K32" s="116">
        <f>COUNTIFS(veri!G:G,53,veri!H:H,20)</f>
        <v>0</v>
      </c>
      <c r="L32" s="127">
        <f>COUNTIFS(veri!G:G,53,veri!H:H,21)</f>
        <v>0</v>
      </c>
      <c r="M32" s="116">
        <f>COUNTIFS(veri!G:G,53,veri!H:H,22)</f>
        <v>0</v>
      </c>
      <c r="N32" s="116">
        <f>COUNTIFS(veri!G:G,53,veri!H:H,31)</f>
        <v>0</v>
      </c>
      <c r="O32" s="116">
        <f>COUNTIFS(veri!G:G,53,veri!H:H,32)</f>
        <v>1</v>
      </c>
      <c r="P32" s="116">
        <f>COUNTIFS(veri!G:G,53,veri!H:H,33)</f>
        <v>0</v>
      </c>
      <c r="Q32" s="116">
        <f>COUNTIFS(veri!G:G,53,veri!H:H,34)</f>
        <v>0</v>
      </c>
      <c r="R32" s="116">
        <f>COUNTIFS(veri!G:G,53,veri!H:H,35)</f>
        <v>0</v>
      </c>
      <c r="S32" s="116">
        <f>COUNTIFS(veri!G:G,53,veri!H:H,36)</f>
        <v>0</v>
      </c>
      <c r="T32" s="116">
        <f>COUNTIFS(veri!G:G,53,veri!H:H,37)</f>
        <v>0</v>
      </c>
      <c r="U32" s="116">
        <f>COUNTIFS(veri!G:G,53,veri!H:H,38)</f>
        <v>0</v>
      </c>
      <c r="V32" s="116">
        <f>COUNTIFS(veri!G:G,53,veri!H:H,39)</f>
        <v>0</v>
      </c>
      <c r="W32" s="116">
        <f>COUNTIFS(veri!G:G,53,veri!H:H,40)</f>
        <v>0</v>
      </c>
      <c r="X32" s="116">
        <f>COUNTIFS(veri!G:G,53,veri!H:H,41)</f>
        <v>0</v>
      </c>
      <c r="Y32" s="116">
        <f>COUNTIFS(veri!G:G,53,veri!H:H,42)</f>
        <v>0</v>
      </c>
      <c r="Z32" s="121">
        <f t="shared" si="0"/>
        <v>1</v>
      </c>
      <c r="AA32" s="14"/>
      <c r="AB32" s="14"/>
      <c r="AC32" s="14"/>
      <c r="AD32" s="14"/>
      <c r="AE32" s="14"/>
    </row>
    <row r="33" spans="1:31" ht="13.5" customHeight="1" x14ac:dyDescent="0.15">
      <c r="A33" s="122" t="s">
        <v>722</v>
      </c>
      <c r="B33" s="123">
        <f>COUNTIFS(veri!G:G,54,veri!H:H,11)</f>
        <v>0</v>
      </c>
      <c r="C33" s="123">
        <f>COUNTIFS(veri!G:G,54,veri!H:H,12)</f>
        <v>0</v>
      </c>
      <c r="D33" s="123">
        <f>COUNTIFS(veri!G:G,54,veri!H:H,13)</f>
        <v>0</v>
      </c>
      <c r="E33" s="123">
        <f>COUNTIFS(veri!G:G,54,veri!H:H,14)</f>
        <v>0</v>
      </c>
      <c r="F33" s="123">
        <f>COUNTIFS(veri!G:G,54,veri!H:H,15)</f>
        <v>0</v>
      </c>
      <c r="G33" s="123">
        <f>COUNTIFS(veri!G:G,54,veri!H:H,16)</f>
        <v>0</v>
      </c>
      <c r="H33" s="123">
        <f>COUNTIFS(veri!G:G,54,veri!H:H,17)</f>
        <v>0</v>
      </c>
      <c r="I33" s="123">
        <f>COUNTIFS(veri!G:G,54,veri!H:H,18)</f>
        <v>0</v>
      </c>
      <c r="J33" s="123">
        <f>COUNTIFS(veri!G:G,54,veri!H:H,19)</f>
        <v>0</v>
      </c>
      <c r="K33" s="123">
        <f>COUNTIFS(veri!G:G,54,veri!H:H,20)</f>
        <v>0</v>
      </c>
      <c r="L33" s="124">
        <f>COUNTIFS(veri!G:G,54,veri!H:H,21)</f>
        <v>0</v>
      </c>
      <c r="M33" s="123">
        <f>COUNTIFS(veri!G:G,54,veri!H:H,22)</f>
        <v>0</v>
      </c>
      <c r="N33" s="123">
        <f>COUNTIFS(veri!G:G,54,veri!H:H,31)</f>
        <v>0</v>
      </c>
      <c r="O33" s="123">
        <f>COUNTIFS(veri!G:G,54,veri!H:H,32)</f>
        <v>0</v>
      </c>
      <c r="P33" s="123">
        <f>COUNTIFS(veri!G:G,54,veri!H:H,33)</f>
        <v>0</v>
      </c>
      <c r="Q33" s="123">
        <f>COUNTIFS(veri!G:G,54,veri!H:H,34)</f>
        <v>0</v>
      </c>
      <c r="R33" s="123">
        <f>COUNTIFS(veri!G:G,54,veri!H:H,35)</f>
        <v>0</v>
      </c>
      <c r="S33" s="123">
        <f>COUNTIFS(veri!G:G,54,veri!H:H,36)</f>
        <v>0</v>
      </c>
      <c r="T33" s="123">
        <f>COUNTIFS(veri!G:G,54,veri!H:H,37)</f>
        <v>0</v>
      </c>
      <c r="U33" s="123">
        <f>COUNTIFS(veri!G:G,54,veri!H:H,38)</f>
        <v>0</v>
      </c>
      <c r="V33" s="123">
        <f>COUNTIFS(veri!G:G,54,veri!H:H,39)</f>
        <v>0</v>
      </c>
      <c r="W33" s="123">
        <f>COUNTIFS(veri!G:G,54,veri!H:H,40)</f>
        <v>0</v>
      </c>
      <c r="X33" s="123">
        <f>COUNTIFS(veri!G:G,54,veri!H:H,41)</f>
        <v>0</v>
      </c>
      <c r="Y33" s="123">
        <f>COUNTIFS(veri!G:G,54,veri!H:H,42)</f>
        <v>0</v>
      </c>
      <c r="Z33" s="121">
        <f t="shared" si="0"/>
        <v>0</v>
      </c>
      <c r="AA33" s="14"/>
      <c r="AB33" s="14"/>
      <c r="AC33" s="14"/>
      <c r="AD33" s="14"/>
      <c r="AE33" s="14"/>
    </row>
    <row r="34" spans="1:31" ht="13.5" customHeight="1" x14ac:dyDescent="0.15">
      <c r="A34" s="120" t="s">
        <v>723</v>
      </c>
      <c r="B34" s="116">
        <f>COUNTIFS(veri!G:G,55,veri!H:H,11)</f>
        <v>0</v>
      </c>
      <c r="C34" s="116">
        <f>COUNTIFS(veri!G:G,55,veri!H:H,12)</f>
        <v>0</v>
      </c>
      <c r="D34" s="116">
        <f>COUNTIFS(veri!G:G,55,veri!H:H,13)</f>
        <v>0</v>
      </c>
      <c r="E34" s="116">
        <f>COUNTIFS(veri!G:G,55,veri!H:H,14)</f>
        <v>0</v>
      </c>
      <c r="F34" s="116">
        <f>COUNTIFS(veri!G:G,55,veri!H:H,15)</f>
        <v>0</v>
      </c>
      <c r="G34" s="116">
        <f>COUNTIFS(veri!G:G,55,veri!H:H,16)</f>
        <v>0</v>
      </c>
      <c r="H34" s="116">
        <f>COUNTIFS(veri!G:G,55,veri!H:H,17)</f>
        <v>0</v>
      </c>
      <c r="I34" s="116">
        <f>COUNTIFS(veri!G:G,55,veri!H:H,18)</f>
        <v>0</v>
      </c>
      <c r="J34" s="116">
        <f>COUNTIFS(veri!G:G,55,veri!H:H,19)</f>
        <v>0</v>
      </c>
      <c r="K34" s="116">
        <f>COUNTIFS(veri!G:G,55,veri!H:H,20)</f>
        <v>0</v>
      </c>
      <c r="L34" s="127">
        <f>COUNTIFS(veri!G:G,55,veri!H:H,21)</f>
        <v>0</v>
      </c>
      <c r="M34" s="116">
        <f>COUNTIFS(veri!G:G,55,veri!H:H,22)</f>
        <v>0</v>
      </c>
      <c r="N34" s="116">
        <f>COUNTIFS(veri!G:G,55,veri!H:H,31)</f>
        <v>0</v>
      </c>
      <c r="O34" s="116">
        <f>COUNTIFS(veri!G:G,55,veri!H:H,32)</f>
        <v>2</v>
      </c>
      <c r="P34" s="116">
        <f>COUNTIFS(veri!G:G,55,veri!H:H,33)</f>
        <v>0</v>
      </c>
      <c r="Q34" s="116">
        <f>COUNTIFS(veri!G:G,55,veri!H:H,34)</f>
        <v>0</v>
      </c>
      <c r="R34" s="116">
        <f>COUNTIFS(veri!G:G,55,veri!H:H,35)</f>
        <v>0</v>
      </c>
      <c r="S34" s="116">
        <f>COUNTIFS(veri!G:G,55,veri!H:H,36)</f>
        <v>0</v>
      </c>
      <c r="T34" s="116">
        <f>COUNTIFS(veri!G:G,55,veri!H:H,37)</f>
        <v>0</v>
      </c>
      <c r="U34" s="116">
        <f>COUNTIFS(veri!G:G,55,veri!H:H,38)</f>
        <v>0</v>
      </c>
      <c r="V34" s="116">
        <f>COUNTIFS(veri!G:G,55,veri!H:H,39)</f>
        <v>0</v>
      </c>
      <c r="W34" s="116">
        <f>COUNTIFS(veri!G:G,55,veri!H:H,40)</f>
        <v>0</v>
      </c>
      <c r="X34" s="116">
        <f>COUNTIFS(veri!G:G,55,veri!H:H,41)</f>
        <v>0</v>
      </c>
      <c r="Y34" s="116">
        <f>COUNTIFS(veri!G:G,55,veri!H:H,42)</f>
        <v>0</v>
      </c>
      <c r="Z34" s="121">
        <f t="shared" si="0"/>
        <v>2</v>
      </c>
      <c r="AA34" s="14"/>
      <c r="AB34" s="14"/>
      <c r="AC34" s="14"/>
      <c r="AD34" s="14"/>
      <c r="AE34" s="14"/>
    </row>
    <row r="35" spans="1:31" ht="13.5" customHeight="1" x14ac:dyDescent="0.15">
      <c r="A35" s="122" t="s">
        <v>724</v>
      </c>
      <c r="B35" s="123">
        <f>COUNTIFS(veri!G:G,56,veri!H:H,11)</f>
        <v>0</v>
      </c>
      <c r="C35" s="123">
        <f>COUNTIFS(veri!G:G,56,veri!H:H,12)</f>
        <v>0</v>
      </c>
      <c r="D35" s="123">
        <f>COUNTIFS(veri!G:G,56,veri!H:H,13)</f>
        <v>0</v>
      </c>
      <c r="E35" s="123">
        <f>COUNTIFS(veri!G:G,56,veri!H:H,14)</f>
        <v>0</v>
      </c>
      <c r="F35" s="123">
        <f>COUNTIFS(veri!G:G,56,veri!H:H,15)</f>
        <v>0</v>
      </c>
      <c r="G35" s="123">
        <f>COUNTIFS(veri!G:G,56,veri!H:H,16)</f>
        <v>0</v>
      </c>
      <c r="H35" s="123">
        <f>COUNTIFS(veri!G:G,56,veri!H:H,17)</f>
        <v>0</v>
      </c>
      <c r="I35" s="123">
        <f>COUNTIFS(veri!G:G,56,veri!H:H,18)</f>
        <v>0</v>
      </c>
      <c r="J35" s="123">
        <f>COUNTIFS(veri!G:G,56,veri!H:H,19)</f>
        <v>0</v>
      </c>
      <c r="K35" s="123">
        <f>COUNTIFS(veri!G:G,56,veri!H:H,20)</f>
        <v>0</v>
      </c>
      <c r="L35" s="124">
        <f>COUNTIFS(veri!G:G,56,veri!H:H,21)</f>
        <v>0</v>
      </c>
      <c r="M35" s="123">
        <f>COUNTIFS(veri!G:G,56,veri!H:H,22)</f>
        <v>0</v>
      </c>
      <c r="N35" s="123">
        <f>COUNTIFS(veri!G:G,56,veri!H:H,31)</f>
        <v>0</v>
      </c>
      <c r="O35" s="123">
        <f>COUNTIFS(veri!G:G,56,veri!H:H,32)</f>
        <v>0</v>
      </c>
      <c r="P35" s="123">
        <f>COUNTIFS(veri!G:G,56,veri!H:H,33)</f>
        <v>0</v>
      </c>
      <c r="Q35" s="123">
        <f>COUNTIFS(veri!G:G,56,veri!H:H,34)</f>
        <v>0</v>
      </c>
      <c r="R35" s="123">
        <f>COUNTIFS(veri!G:G,56,veri!H:H,35)</f>
        <v>0</v>
      </c>
      <c r="S35" s="123">
        <f>COUNTIFS(veri!G:G,56,veri!H:H,36)</f>
        <v>0</v>
      </c>
      <c r="T35" s="123">
        <f>COUNTIFS(veri!G:G,56,veri!H:H,37)</f>
        <v>0</v>
      </c>
      <c r="U35" s="123">
        <f>COUNTIFS(veri!G:G,56,veri!H:H,38)</f>
        <v>0</v>
      </c>
      <c r="V35" s="123">
        <f>COUNTIFS(veri!G:G,56,veri!H:H,39)</f>
        <v>0</v>
      </c>
      <c r="W35" s="123">
        <f>COUNTIFS(veri!G:G,56,veri!H:H,40)</f>
        <v>0</v>
      </c>
      <c r="X35" s="123">
        <f>COUNTIFS(veri!G:G,56,veri!H:H,41)</f>
        <v>0</v>
      </c>
      <c r="Y35" s="123">
        <f>COUNTIFS(veri!G:G,56,veri!H:H,42)</f>
        <v>0</v>
      </c>
      <c r="Z35" s="121">
        <f t="shared" si="0"/>
        <v>0</v>
      </c>
      <c r="AA35" s="14"/>
      <c r="AB35" s="14"/>
      <c r="AC35" s="14"/>
      <c r="AD35" s="14"/>
      <c r="AE35" s="14"/>
    </row>
    <row r="36" spans="1:31" ht="13.5" customHeight="1" x14ac:dyDescent="0.15">
      <c r="A36" s="120" t="s">
        <v>725</v>
      </c>
      <c r="B36" s="116">
        <f>COUNTIFS(veri!G:G,57,veri!H:H,11)</f>
        <v>0</v>
      </c>
      <c r="C36" s="116">
        <f>COUNTIFS(veri!G:G,57,veri!H:H,12)</f>
        <v>0</v>
      </c>
      <c r="D36" s="116">
        <f>COUNTIFS(veri!G:G,57,veri!H:H,13)</f>
        <v>0</v>
      </c>
      <c r="E36" s="116">
        <f>COUNTIFS(veri!G:G,57,veri!H:H,14)</f>
        <v>0</v>
      </c>
      <c r="F36" s="116">
        <f>COUNTIFS(veri!G:G,57,veri!H:H,15)</f>
        <v>0</v>
      </c>
      <c r="G36" s="116">
        <f>COUNTIFS(veri!G:G,57,veri!H:H,16)</f>
        <v>0</v>
      </c>
      <c r="H36" s="116">
        <f>COUNTIFS(veri!G:G,57,veri!H:H,17)</f>
        <v>0</v>
      </c>
      <c r="I36" s="116">
        <f>COUNTIFS(veri!G:G,57,veri!H:H,18)</f>
        <v>0</v>
      </c>
      <c r="J36" s="116">
        <f>COUNTIFS(veri!G:G,57,veri!H:H,19)</f>
        <v>0</v>
      </c>
      <c r="K36" s="116">
        <f>COUNTIFS(veri!G:G,57,veri!H:H,20)</f>
        <v>0</v>
      </c>
      <c r="L36" s="127">
        <f>COUNTIFS(veri!G:G,57,veri!H:H,21)</f>
        <v>0</v>
      </c>
      <c r="M36" s="116">
        <f>COUNTIFS(veri!G:G,57,veri!H:H,22)</f>
        <v>0</v>
      </c>
      <c r="N36" s="116">
        <f>COUNTIFS(veri!G:G,57,veri!H:H,31)</f>
        <v>0</v>
      </c>
      <c r="O36" s="116">
        <f>COUNTIFS(veri!G:G,57,veri!H:H,32)</f>
        <v>0</v>
      </c>
      <c r="P36" s="116">
        <f>COUNTIFS(veri!G:G,57,veri!H:H,33)</f>
        <v>0</v>
      </c>
      <c r="Q36" s="116">
        <f>COUNTIFS(veri!G:G,57,veri!H:H,34)</f>
        <v>0</v>
      </c>
      <c r="R36" s="116">
        <f>COUNTIFS(veri!G:G,57,veri!H:H,35)</f>
        <v>0</v>
      </c>
      <c r="S36" s="116">
        <f>COUNTIFS(veri!G:G,57,veri!H:H,36)</f>
        <v>0</v>
      </c>
      <c r="T36" s="116">
        <f>COUNTIFS(veri!G:G,57,veri!H:H,37)</f>
        <v>0</v>
      </c>
      <c r="U36" s="116">
        <f>COUNTIFS(veri!G:G,57,veri!H:H,38)</f>
        <v>0</v>
      </c>
      <c r="V36" s="116">
        <f>COUNTIFS(veri!G:G,57,veri!H:H,39)</f>
        <v>0</v>
      </c>
      <c r="W36" s="116">
        <f>COUNTIFS(veri!G:G,57,veri!H:H,40)</f>
        <v>0</v>
      </c>
      <c r="X36" s="116">
        <f>COUNTIFS(veri!G:G,57,veri!H:H,41)</f>
        <v>0</v>
      </c>
      <c r="Y36" s="116">
        <f>COUNTIFS(veri!G:G,57,veri!H:H,42)</f>
        <v>0</v>
      </c>
      <c r="Z36" s="121">
        <f t="shared" ref="Z36:Z67" si="1">SUM(B36:Y36)</f>
        <v>0</v>
      </c>
      <c r="AA36" s="14"/>
      <c r="AB36" s="14"/>
      <c r="AC36" s="14"/>
      <c r="AD36" s="14"/>
      <c r="AE36" s="14"/>
    </row>
    <row r="37" spans="1:31" ht="10.5" customHeight="1" x14ac:dyDescent="0.15">
      <c r="A37" s="122" t="s">
        <v>726</v>
      </c>
      <c r="B37" s="123">
        <f>COUNTIFS(veri!G:G,58,veri!H:H,11)</f>
        <v>0</v>
      </c>
      <c r="C37" s="123">
        <f>COUNTIFS(veri!G:G,58,veri!H:H,12)</f>
        <v>0</v>
      </c>
      <c r="D37" s="123">
        <f>COUNTIFS(veri!G:G,58,veri!H:H,13)</f>
        <v>0</v>
      </c>
      <c r="E37" s="123">
        <f>COUNTIFS(veri!G:G,58,veri!H:H,14)</f>
        <v>0</v>
      </c>
      <c r="F37" s="123">
        <f>COUNTIFS(veri!G:G,58,veri!H:H,15)</f>
        <v>0</v>
      </c>
      <c r="G37" s="123">
        <f>COUNTIFS(veri!G:G,58,veri!H:H,16)</f>
        <v>0</v>
      </c>
      <c r="H37" s="123">
        <f>COUNTIFS(veri!G:G,58,veri!H:H,17)</f>
        <v>0</v>
      </c>
      <c r="I37" s="123">
        <f>COUNTIFS(veri!G:G,58,veri!H:H,18)</f>
        <v>0</v>
      </c>
      <c r="J37" s="123">
        <f>COUNTIFS(veri!G:G,58,veri!H:H,19)</f>
        <v>0</v>
      </c>
      <c r="K37" s="123">
        <f>COUNTIFS(veri!G:G,58,veri!H:H,20)</f>
        <v>0</v>
      </c>
      <c r="L37" s="123">
        <f>COUNTIFS(veri!G:G,58,veri!H:H,21)</f>
        <v>0</v>
      </c>
      <c r="M37" s="123">
        <f>COUNTIFS(veri!G:G,58,veri!H:H,22)</f>
        <v>0</v>
      </c>
      <c r="N37" s="123">
        <f>COUNTIFS(veri!G:G,58,veri!H:H,31)</f>
        <v>0</v>
      </c>
      <c r="O37" s="123">
        <f>COUNTIFS(veri!G:G,58,veri!H:H,32)</f>
        <v>0</v>
      </c>
      <c r="P37" s="123">
        <f>COUNTIFS(veri!G:G,58,veri!H:H,33)</f>
        <v>0</v>
      </c>
      <c r="Q37" s="123">
        <f>COUNTIFS(veri!G:G,58,veri!H:H,34)</f>
        <v>0</v>
      </c>
      <c r="R37" s="123">
        <f>COUNTIFS(veri!G:G,58,veri!H:H,35)</f>
        <v>0</v>
      </c>
      <c r="S37" s="123">
        <f>COUNTIFS(veri!G:G,58,veri!H:H,36)</f>
        <v>0</v>
      </c>
      <c r="T37" s="123">
        <f>COUNTIFS(veri!G:G,58,veri!H:H,37)</f>
        <v>0</v>
      </c>
      <c r="U37" s="123">
        <f>COUNTIFS(veri!G:G,58,veri!H:H,38)</f>
        <v>0</v>
      </c>
      <c r="V37" s="123">
        <f>COUNTIFS(veri!G:G,58,veri!H:H,39)</f>
        <v>0</v>
      </c>
      <c r="W37" s="123">
        <f>COUNTIFS(veri!G:G,58,veri!H:H,40)</f>
        <v>0</v>
      </c>
      <c r="X37" s="123">
        <f>COUNTIFS(veri!G:G,58,veri!H:H,41)</f>
        <v>0</v>
      </c>
      <c r="Y37" s="123">
        <f>COUNTIFS(veri!G:G,58,veri!H:H,42)</f>
        <v>0</v>
      </c>
      <c r="Z37" s="121">
        <f t="shared" si="1"/>
        <v>0</v>
      </c>
      <c r="AA37" s="14"/>
      <c r="AB37" s="14"/>
      <c r="AC37" s="14"/>
      <c r="AD37" s="14"/>
      <c r="AE37" s="14"/>
    </row>
    <row r="38" spans="1:31" ht="10.5" customHeight="1" x14ac:dyDescent="0.15">
      <c r="A38" s="120" t="s">
        <v>727</v>
      </c>
      <c r="B38" s="116">
        <f>COUNTIFS(veri!G:G,59,veri!H:H,11)</f>
        <v>0</v>
      </c>
      <c r="C38" s="116">
        <f>COUNTIFS(veri!G:G,59,veri!H:H,12)</f>
        <v>0</v>
      </c>
      <c r="D38" s="116">
        <f>COUNTIFS(veri!G:G,59,veri!H:H,13)</f>
        <v>0</v>
      </c>
      <c r="E38" s="116">
        <f>COUNTIFS(veri!G:G,59,veri!H:H,14)</f>
        <v>0</v>
      </c>
      <c r="F38" s="116">
        <f>COUNTIFS(veri!G:G,59,veri!H:H,15)</f>
        <v>0</v>
      </c>
      <c r="G38" s="116">
        <f>COUNTIFS(veri!G:G,59,veri!H:H,16)</f>
        <v>0</v>
      </c>
      <c r="H38" s="116">
        <f>COUNTIFS(veri!G:G,59,veri!H:H,17)</f>
        <v>0</v>
      </c>
      <c r="I38" s="116">
        <f>COUNTIFS(veri!G:G,59,veri!H:H,18)</f>
        <v>0</v>
      </c>
      <c r="J38" s="116">
        <f>COUNTIFS(veri!G:G,59,veri!H:H,19)</f>
        <v>0</v>
      </c>
      <c r="K38" s="116">
        <f>COUNTIFS(veri!G:G,59,veri!H:H,20)</f>
        <v>0</v>
      </c>
      <c r="L38" s="116">
        <f>COUNTIFS(veri!G:G,59,veri!H:H,21)</f>
        <v>0</v>
      </c>
      <c r="M38" s="116">
        <f>COUNTIFS(veri!G:G,59,veri!H:H,22)</f>
        <v>0</v>
      </c>
      <c r="N38" s="116">
        <f>COUNTIFS(veri!G:G,59,veri!H:H,31)</f>
        <v>0</v>
      </c>
      <c r="O38" s="116">
        <f>COUNTIFS(veri!G:G,59,veri!H:H,32)</f>
        <v>0</v>
      </c>
      <c r="P38" s="116">
        <f>COUNTIFS(veri!G:G,59,veri!H:H,33)</f>
        <v>0</v>
      </c>
      <c r="Q38" s="116">
        <f>COUNTIFS(veri!G:G,59,veri!H:H,34)</f>
        <v>0</v>
      </c>
      <c r="R38" s="116">
        <f>COUNTIFS(veri!G:G,59,veri!H:H,35)</f>
        <v>0</v>
      </c>
      <c r="S38" s="116">
        <f>COUNTIFS(veri!G:G,59,veri!H:H,36)</f>
        <v>0</v>
      </c>
      <c r="T38" s="116">
        <f>COUNTIFS(veri!G:G,59,veri!H:H,37)</f>
        <v>0</v>
      </c>
      <c r="U38" s="116">
        <f>COUNTIFS(veri!G:G,59,veri!H:H,38)</f>
        <v>0</v>
      </c>
      <c r="V38" s="116">
        <f>COUNTIFS(veri!G:G,59,veri!H:H,39)</f>
        <v>0</v>
      </c>
      <c r="W38" s="116">
        <f>COUNTIFS(veri!G:G,59,veri!H:H,40)</f>
        <v>0</v>
      </c>
      <c r="X38" s="116">
        <f>COUNTIFS(veri!G:G,59,veri!H:H,41)</f>
        <v>1</v>
      </c>
      <c r="Y38" s="116">
        <f>COUNTIFS(veri!G:G,59,veri!H:H,42)</f>
        <v>0</v>
      </c>
      <c r="Z38" s="121">
        <f t="shared" si="1"/>
        <v>1</v>
      </c>
      <c r="AA38" s="14"/>
      <c r="AB38" s="14"/>
      <c r="AC38" s="14"/>
      <c r="AD38" s="14"/>
      <c r="AE38" s="14"/>
    </row>
    <row r="39" spans="1:31" ht="10.5" customHeight="1" x14ac:dyDescent="0.15">
      <c r="A39" s="122" t="s">
        <v>728</v>
      </c>
      <c r="B39" s="123">
        <f>COUNTIFS(veri!G:G,60,veri!H:H,11)</f>
        <v>0</v>
      </c>
      <c r="C39" s="123">
        <f>COUNTIFS(veri!G:G,60,veri!H:H,12)</f>
        <v>0</v>
      </c>
      <c r="D39" s="123">
        <f>COUNTIFS(veri!G:G,60,veri!H:H,13)</f>
        <v>0</v>
      </c>
      <c r="E39" s="123">
        <f>COUNTIFS(veri!G:G,60,veri!H:H,14)</f>
        <v>0</v>
      </c>
      <c r="F39" s="123">
        <f>COUNTIFS(veri!G:G,60,veri!H:H,15)</f>
        <v>0</v>
      </c>
      <c r="G39" s="123">
        <f>COUNTIFS(veri!G:G,60,veri!H:H,16)</f>
        <v>0</v>
      </c>
      <c r="H39" s="123">
        <f>COUNTIFS(veri!G:G,60,veri!H:H,17)</f>
        <v>0</v>
      </c>
      <c r="I39" s="123">
        <f>COUNTIFS(veri!G:G,60,veri!H:H,18)</f>
        <v>0</v>
      </c>
      <c r="J39" s="123">
        <f>COUNTIFS(veri!G:G,60,veri!H:H,19)</f>
        <v>0</v>
      </c>
      <c r="K39" s="123">
        <f>COUNTIFS(veri!G:G,60,veri!H:H,20)</f>
        <v>0</v>
      </c>
      <c r="L39" s="123">
        <f>COUNTIFS(veri!G:G,60,veri!H:H,21)</f>
        <v>0</v>
      </c>
      <c r="M39" s="123">
        <f>COUNTIFS(veri!G:G,60,veri!H:H,22)</f>
        <v>0</v>
      </c>
      <c r="N39" s="123">
        <f>COUNTIFS(veri!G:G,60,veri!H:H,31)</f>
        <v>0</v>
      </c>
      <c r="O39" s="123">
        <f>COUNTIFS(veri!G:G,60,veri!H:H,32)</f>
        <v>0</v>
      </c>
      <c r="P39" s="123">
        <f>COUNTIFS(veri!G:G,60,veri!H:H,33)</f>
        <v>0</v>
      </c>
      <c r="Q39" s="123">
        <f>COUNTIFS(veri!G:G,60,veri!H:H,34)</f>
        <v>0</v>
      </c>
      <c r="R39" s="123">
        <f>COUNTIFS(veri!G:G,60,veri!H:H,35)</f>
        <v>0</v>
      </c>
      <c r="S39" s="123">
        <f>COUNTIFS(veri!G:G,60,veri!H:H,36)</f>
        <v>0</v>
      </c>
      <c r="T39" s="123">
        <f>COUNTIFS(veri!G:G,60,veri!H:H,37)</f>
        <v>0</v>
      </c>
      <c r="U39" s="123">
        <f>COUNTIFS(veri!G:G,60,veri!H:H,38)</f>
        <v>0</v>
      </c>
      <c r="V39" s="123">
        <f>COUNTIFS(veri!G:G,60,veri!H:H,39)</f>
        <v>0</v>
      </c>
      <c r="W39" s="123">
        <f>COUNTIFS(veri!G:G,60,veri!H:H,40)</f>
        <v>0</v>
      </c>
      <c r="X39" s="123">
        <f>COUNTIFS(veri!G:G,60,veri!H:H,41)</f>
        <v>0</v>
      </c>
      <c r="Y39" s="123">
        <f>COUNTIFS(veri!G:G,60,veri!H:H,42)</f>
        <v>0</v>
      </c>
      <c r="Z39" s="121">
        <f t="shared" si="1"/>
        <v>0</v>
      </c>
      <c r="AA39" s="14"/>
      <c r="AB39" s="14"/>
      <c r="AC39" s="14"/>
      <c r="AD39" s="14"/>
      <c r="AE39" s="14"/>
    </row>
    <row r="40" spans="1:31" ht="10.5" customHeight="1" x14ac:dyDescent="0.15">
      <c r="A40" s="120" t="s">
        <v>729</v>
      </c>
      <c r="B40" s="116">
        <f>COUNTIFS(veri!G:G,61,veri!H:H,11)</f>
        <v>0</v>
      </c>
      <c r="C40" s="116">
        <f>COUNTIFS(veri!G:G,61,veri!H:H,12)</f>
        <v>0</v>
      </c>
      <c r="D40" s="116">
        <f>COUNTIFS(veri!G:G,61,veri!H:H,13)</f>
        <v>0</v>
      </c>
      <c r="E40" s="116">
        <f>COUNTIFS(veri!G:G,61,veri!H:H,14)</f>
        <v>0</v>
      </c>
      <c r="F40" s="116">
        <f>COUNTIFS(veri!G:G,61,veri!H:H,15)</f>
        <v>0</v>
      </c>
      <c r="G40" s="116">
        <f>COUNTIFS(veri!G:G,61,veri!H:H,16)</f>
        <v>0</v>
      </c>
      <c r="H40" s="116">
        <f>COUNTIFS(veri!G:G,61,veri!H:H,17)</f>
        <v>0</v>
      </c>
      <c r="I40" s="116">
        <f>COUNTIFS(veri!G:G,61,veri!H:H,18)</f>
        <v>0</v>
      </c>
      <c r="J40" s="116">
        <f>COUNTIFS(veri!G:G,61,veri!H:H,19)</f>
        <v>0</v>
      </c>
      <c r="K40" s="116">
        <f>COUNTIFS(veri!G:G,61,veri!H:H,20)</f>
        <v>0</v>
      </c>
      <c r="L40" s="116">
        <f>COUNTIFS(veri!G:G,61,veri!H:H,21)</f>
        <v>0</v>
      </c>
      <c r="M40" s="116">
        <f>COUNTIFS(veri!G:G,61,veri!H:H,22)</f>
        <v>0</v>
      </c>
      <c r="N40" s="116">
        <f>COUNTIFS(veri!G:G,61,veri!H:H,31)</f>
        <v>0</v>
      </c>
      <c r="O40" s="116">
        <f>COUNTIFS(veri!G:G,61,veri!H:H,32)</f>
        <v>0</v>
      </c>
      <c r="P40" s="116">
        <f>COUNTIFS(veri!G:G,61,veri!H:H,33)</f>
        <v>0</v>
      </c>
      <c r="Q40" s="116">
        <f>COUNTIFS(veri!G:G,61,veri!H:H,34)</f>
        <v>0</v>
      </c>
      <c r="R40" s="116">
        <f>COUNTIFS(veri!G:G,61,veri!H:H,35)</f>
        <v>0</v>
      </c>
      <c r="S40" s="116">
        <f>COUNTIFS(veri!G:G,61,veri!H:H,36)</f>
        <v>0</v>
      </c>
      <c r="T40" s="116">
        <f>COUNTIFS(veri!G:G,61,veri!H:H,37)</f>
        <v>0</v>
      </c>
      <c r="U40" s="116">
        <f>COUNTIFS(veri!G:G,61,veri!H:H,38)</f>
        <v>0</v>
      </c>
      <c r="V40" s="116">
        <f>COUNTIFS(veri!G:G,61,veri!H:H,39)</f>
        <v>0</v>
      </c>
      <c r="W40" s="116">
        <f>COUNTIFS(veri!G:G,61,veri!H:H,40)</f>
        <v>0</v>
      </c>
      <c r="X40" s="116">
        <f>COUNTIFS(veri!G:G,61,veri!H:H,41)</f>
        <v>0</v>
      </c>
      <c r="Y40" s="116">
        <f>COUNTIFS(veri!G:G,61,veri!H:H,42)</f>
        <v>0</v>
      </c>
      <c r="Z40" s="121">
        <f t="shared" si="1"/>
        <v>0</v>
      </c>
      <c r="AA40" s="14"/>
      <c r="AB40" s="14"/>
      <c r="AC40" s="14"/>
      <c r="AD40" s="14"/>
      <c r="AE40" s="14"/>
    </row>
    <row r="41" spans="1:31" ht="10.5" customHeight="1" x14ac:dyDescent="0.15">
      <c r="A41" s="122" t="s">
        <v>730</v>
      </c>
      <c r="B41" s="123">
        <f>COUNTIFS(veri!G:G,62,veri!H:H,11)</f>
        <v>0</v>
      </c>
      <c r="C41" s="123">
        <f>COUNTIFS(veri!G:G,62,veri!H:H,12)</f>
        <v>0</v>
      </c>
      <c r="D41" s="123">
        <f>COUNTIFS(veri!G:G,62,veri!H:H,13)</f>
        <v>0</v>
      </c>
      <c r="E41" s="123">
        <f>COUNTIFS(veri!G:G,62,veri!H:H,14)</f>
        <v>0</v>
      </c>
      <c r="F41" s="123">
        <f>COUNTIFS(veri!G:G,62,veri!H:H,15)</f>
        <v>0</v>
      </c>
      <c r="G41" s="123">
        <f>COUNTIFS(veri!G:G,62,veri!H:H,16)</f>
        <v>0</v>
      </c>
      <c r="H41" s="123">
        <f>COUNTIFS(veri!G:G,62,veri!H:H,17)</f>
        <v>0</v>
      </c>
      <c r="I41" s="123">
        <f>COUNTIFS(veri!G:G,62,veri!H:H,18)</f>
        <v>0</v>
      </c>
      <c r="J41" s="123">
        <f>COUNTIFS(veri!G:G,62,veri!H:H,19)</f>
        <v>0</v>
      </c>
      <c r="K41" s="123">
        <f>COUNTIFS(veri!G:G,62,veri!H:H,20)</f>
        <v>0</v>
      </c>
      <c r="L41" s="123">
        <f>COUNTIFS(veri!G:G,62,veri!H:H,21)</f>
        <v>0</v>
      </c>
      <c r="M41" s="123">
        <f>COUNTIFS(veri!G:G,62,veri!H:H,22)</f>
        <v>0</v>
      </c>
      <c r="N41" s="123">
        <f>COUNTIFS(veri!G:G,62,veri!H:H,31)</f>
        <v>0</v>
      </c>
      <c r="O41" s="123">
        <f>COUNTIFS(veri!G:G,62,veri!H:H,32)</f>
        <v>0</v>
      </c>
      <c r="P41" s="123">
        <f>COUNTIFS(veri!G:G,62,veri!H:H,33)</f>
        <v>0</v>
      </c>
      <c r="Q41" s="123">
        <f>COUNTIFS(veri!G:G,62,veri!H:H,34)</f>
        <v>0</v>
      </c>
      <c r="R41" s="123">
        <f>COUNTIFS(veri!G:G,62,veri!H:H,35)</f>
        <v>0</v>
      </c>
      <c r="S41" s="123">
        <f>COUNTIFS(veri!G:G,62,veri!H:H,36)</f>
        <v>0</v>
      </c>
      <c r="T41" s="123">
        <f>COUNTIFS(veri!G:G,62,veri!H:H,37)</f>
        <v>0</v>
      </c>
      <c r="U41" s="123">
        <f>COUNTIFS(veri!G:G,62,veri!H:H,38)</f>
        <v>0</v>
      </c>
      <c r="V41" s="123">
        <f>COUNTIFS(veri!G:G,62,veri!H:H,39)</f>
        <v>0</v>
      </c>
      <c r="W41" s="123">
        <f>COUNTIFS(veri!G:G,62,veri!H:H,40)</f>
        <v>0</v>
      </c>
      <c r="X41" s="123">
        <f>COUNTIFS(veri!G:G,62,veri!H:H,41)</f>
        <v>0</v>
      </c>
      <c r="Y41" s="123">
        <f>COUNTIFS(veri!G:G,62,veri!H:H,42)</f>
        <v>0</v>
      </c>
      <c r="Z41" s="121">
        <f t="shared" si="1"/>
        <v>0</v>
      </c>
      <c r="AA41" s="14"/>
      <c r="AB41" s="14"/>
      <c r="AC41" s="14"/>
      <c r="AD41" s="14"/>
      <c r="AE41" s="14"/>
    </row>
    <row r="42" spans="1:31" ht="10.5" customHeight="1" x14ac:dyDescent="0.15">
      <c r="A42" s="120" t="s">
        <v>731</v>
      </c>
      <c r="B42" s="116">
        <f>COUNTIFS(veri!G:G,63,veri!H:H,11)</f>
        <v>0</v>
      </c>
      <c r="C42" s="116">
        <f>COUNTIFS(veri!G:G,63,veri!H:H,12)</f>
        <v>0</v>
      </c>
      <c r="D42" s="116">
        <f>COUNTIFS(veri!G:G,63,veri!H:H,13)</f>
        <v>0</v>
      </c>
      <c r="E42" s="116">
        <f>COUNTIFS(veri!G:G,63,veri!H:H,14)</f>
        <v>0</v>
      </c>
      <c r="F42" s="116">
        <f>COUNTIFS(veri!G:G,63,veri!H:H,15)</f>
        <v>0</v>
      </c>
      <c r="G42" s="116">
        <f>COUNTIFS(veri!G:G,63,veri!H:H,16)</f>
        <v>0</v>
      </c>
      <c r="H42" s="116">
        <f>COUNTIFS(veri!G:G,63,veri!H:H,17)</f>
        <v>0</v>
      </c>
      <c r="I42" s="116">
        <f>COUNTIFS(veri!G:G,63,veri!H:H,18)</f>
        <v>0</v>
      </c>
      <c r="J42" s="116">
        <f>COUNTIFS(veri!G:G,63,veri!H:H,19)</f>
        <v>0</v>
      </c>
      <c r="K42" s="116">
        <f>COUNTIFS(veri!G:G,63,veri!H:H,20)</f>
        <v>0</v>
      </c>
      <c r="L42" s="116">
        <f>COUNTIFS(veri!G:G,63,veri!H:H,21)</f>
        <v>0</v>
      </c>
      <c r="M42" s="116">
        <f>COUNTIFS(veri!G:G,63,veri!H:H,22)</f>
        <v>0</v>
      </c>
      <c r="N42" s="116">
        <f>COUNTIFS(veri!G:G,63,veri!H:H,31)</f>
        <v>0</v>
      </c>
      <c r="O42" s="116">
        <f>COUNTIFS(veri!G:G,63,veri!H:H,32)</f>
        <v>0</v>
      </c>
      <c r="P42" s="116">
        <f>COUNTIFS(veri!G:G,63,veri!H:H,33)</f>
        <v>0</v>
      </c>
      <c r="Q42" s="116">
        <f>COUNTIFS(veri!G:G,63,veri!H:H,34)</f>
        <v>0</v>
      </c>
      <c r="R42" s="116">
        <f>COUNTIFS(veri!G:G,63,veri!H:H,35)</f>
        <v>0</v>
      </c>
      <c r="S42" s="116">
        <f>COUNTIFS(veri!G:G,63,veri!H:H,36)</f>
        <v>0</v>
      </c>
      <c r="T42" s="116">
        <f>COUNTIFS(veri!G:G,63,veri!H:H,37)</f>
        <v>0</v>
      </c>
      <c r="U42" s="116">
        <f>COUNTIFS(veri!G:G,63,veri!H:H,38)</f>
        <v>0</v>
      </c>
      <c r="V42" s="116">
        <f>COUNTIFS(veri!G:G,63,veri!H:H,39)</f>
        <v>0</v>
      </c>
      <c r="W42" s="116">
        <f>COUNTIFS(veri!G:G,63,veri!H:H,40)</f>
        <v>0</v>
      </c>
      <c r="X42" s="116">
        <f>COUNTIFS(veri!G:G,63,veri!H:H,41)</f>
        <v>0</v>
      </c>
      <c r="Y42" s="116">
        <f>COUNTIFS(veri!G:G,63,veri!H:H,42)</f>
        <v>1</v>
      </c>
      <c r="Z42" s="121">
        <f t="shared" si="1"/>
        <v>1</v>
      </c>
      <c r="AA42" s="14"/>
      <c r="AB42" s="14"/>
      <c r="AC42" s="14"/>
      <c r="AD42" s="14"/>
      <c r="AE42" s="14"/>
    </row>
    <row r="43" spans="1:31" ht="10.5" customHeight="1" x14ac:dyDescent="0.15">
      <c r="A43" s="122" t="s">
        <v>732</v>
      </c>
      <c r="B43" s="123">
        <f>COUNTIFS(veri!G:G,64,veri!H:H,11)</f>
        <v>0</v>
      </c>
      <c r="C43" s="123">
        <f>COUNTIFS(veri!G:G,64,veri!H:H,12)</f>
        <v>0</v>
      </c>
      <c r="D43" s="123">
        <f>COUNTIFS(veri!G:G,64,veri!H:H,13)</f>
        <v>0</v>
      </c>
      <c r="E43" s="123">
        <f>COUNTIFS(veri!G:G,64,veri!H:H,14)</f>
        <v>0</v>
      </c>
      <c r="F43" s="123">
        <f>COUNTIFS(veri!G:G,64,veri!H:H,15)</f>
        <v>0</v>
      </c>
      <c r="G43" s="123">
        <f>COUNTIFS(veri!G:G,64,veri!H:H,16)</f>
        <v>0</v>
      </c>
      <c r="H43" s="123">
        <f>COUNTIFS(veri!G:G,64,veri!H:H,17)</f>
        <v>0</v>
      </c>
      <c r="I43" s="123">
        <f>COUNTIFS(veri!G:G,64,veri!H:H,18)</f>
        <v>0</v>
      </c>
      <c r="J43" s="123">
        <f>COUNTIFS(veri!G:G,64,veri!H:H,19)</f>
        <v>0</v>
      </c>
      <c r="K43" s="123">
        <f>COUNTIFS(veri!G:G,64,veri!H:H,20)</f>
        <v>0</v>
      </c>
      <c r="L43" s="123">
        <f>COUNTIFS(veri!G:G,64,veri!H:H,21)</f>
        <v>0</v>
      </c>
      <c r="M43" s="123">
        <f>COUNTIFS(veri!G:G,64,veri!H:H,22)</f>
        <v>0</v>
      </c>
      <c r="N43" s="123">
        <f>COUNTIFS(veri!G:G,64,veri!H:H,31)</f>
        <v>0</v>
      </c>
      <c r="O43" s="123">
        <f>COUNTIFS(veri!G:G,64,veri!H:H,32)</f>
        <v>0</v>
      </c>
      <c r="P43" s="123">
        <f>COUNTIFS(veri!G:G,64,veri!H:H,33)</f>
        <v>0</v>
      </c>
      <c r="Q43" s="123">
        <f>COUNTIFS(veri!G:G,64,veri!H:H,34)</f>
        <v>0</v>
      </c>
      <c r="R43" s="123">
        <f>COUNTIFS(veri!G:G,64,veri!H:H,35)</f>
        <v>0</v>
      </c>
      <c r="S43" s="123">
        <f>COUNTIFS(veri!G:G,64,veri!H:H,36)</f>
        <v>0</v>
      </c>
      <c r="T43" s="123">
        <f>COUNTIFS(veri!G:G,64,veri!H:H,37)</f>
        <v>0</v>
      </c>
      <c r="U43" s="123">
        <f>COUNTIFS(veri!G:G,64,veri!H:H,38)</f>
        <v>0</v>
      </c>
      <c r="V43" s="123">
        <f>COUNTIFS(veri!G:G,64,veri!H:H,39)</f>
        <v>0</v>
      </c>
      <c r="W43" s="123">
        <f>COUNTIFS(veri!G:G,64,veri!H:H,40)</f>
        <v>0</v>
      </c>
      <c r="X43" s="123">
        <f>COUNTIFS(veri!G:G,64,veri!H:H,41)</f>
        <v>0</v>
      </c>
      <c r="Y43" s="123">
        <f>COUNTIFS(veri!G:G,64,veri!H:H,42)</f>
        <v>0</v>
      </c>
      <c r="Z43" s="121">
        <f t="shared" si="1"/>
        <v>0</v>
      </c>
      <c r="AA43" s="14"/>
      <c r="AB43" s="14"/>
      <c r="AC43" s="14"/>
      <c r="AD43" s="14"/>
      <c r="AE43" s="14"/>
    </row>
    <row r="44" spans="1:31" ht="10.5" customHeight="1" x14ac:dyDescent="0.15">
      <c r="A44" s="120" t="s">
        <v>733</v>
      </c>
      <c r="B44" s="116">
        <f>COUNTIFS(veri!G:G,65,veri!H:H,11)</f>
        <v>0</v>
      </c>
      <c r="C44" s="116">
        <f>COUNTIFS(veri!G:G,65,veri!H:H,12)</f>
        <v>0</v>
      </c>
      <c r="D44" s="116">
        <f>COUNTIFS(veri!G:G,65,veri!H:H,13)</f>
        <v>0</v>
      </c>
      <c r="E44" s="116">
        <f>COUNTIFS(veri!G:G,65,veri!H:H,14)</f>
        <v>0</v>
      </c>
      <c r="F44" s="116">
        <f>COUNTIFS(veri!G:G,65,veri!H:H,15)</f>
        <v>0</v>
      </c>
      <c r="G44" s="116">
        <f>COUNTIFS(veri!G:G,65,veri!H:H,16)</f>
        <v>0</v>
      </c>
      <c r="H44" s="116">
        <f>COUNTIFS(veri!G:G,65,veri!H:H,17)</f>
        <v>0</v>
      </c>
      <c r="I44" s="116">
        <f>COUNTIFS(veri!G:G,65,veri!H:H,18)</f>
        <v>0</v>
      </c>
      <c r="J44" s="116">
        <f>COUNTIFS(veri!G:G,65,veri!H:H,19)</f>
        <v>0</v>
      </c>
      <c r="K44" s="116">
        <f>COUNTIFS(veri!G:G,65,veri!H:H,20)</f>
        <v>0</v>
      </c>
      <c r="L44" s="116">
        <f>COUNTIFS(veri!G:G,65,veri!H:H,21)</f>
        <v>0</v>
      </c>
      <c r="M44" s="116">
        <f>COUNTIFS(veri!G:G,65,veri!H:H,22)</f>
        <v>0</v>
      </c>
      <c r="N44" s="116">
        <f>COUNTIFS(veri!G:G,65,veri!H:H,31)</f>
        <v>0</v>
      </c>
      <c r="O44" s="116">
        <f>COUNTIFS(veri!G:G,65,veri!H:H,32)</f>
        <v>0</v>
      </c>
      <c r="P44" s="116">
        <f>COUNTIFS(veri!G:G,65,veri!H:H,33)</f>
        <v>0</v>
      </c>
      <c r="Q44" s="116">
        <f>COUNTIFS(veri!G:G,65,veri!H:H,34)</f>
        <v>0</v>
      </c>
      <c r="R44" s="116">
        <f>COUNTIFS(veri!G:G,65,veri!H:H,35)</f>
        <v>0</v>
      </c>
      <c r="S44" s="116">
        <f>COUNTIFS(veri!G:G,65,veri!H:H,36)</f>
        <v>0</v>
      </c>
      <c r="T44" s="116">
        <f>COUNTIFS(veri!G:G,65,veri!H:H,37)</f>
        <v>0</v>
      </c>
      <c r="U44" s="116">
        <f>COUNTIFS(veri!G:G,65,veri!H:H,38)</f>
        <v>0</v>
      </c>
      <c r="V44" s="116">
        <f>COUNTIFS(veri!G:G,65,veri!H:H,39)</f>
        <v>0</v>
      </c>
      <c r="W44" s="116">
        <f>COUNTIFS(veri!G:G,65,veri!H:H,40)</f>
        <v>0</v>
      </c>
      <c r="X44" s="116">
        <f>COUNTIFS(veri!G:G,65,veri!H:H,41)</f>
        <v>0</v>
      </c>
      <c r="Y44" s="116">
        <f>COUNTIFS(veri!G:G,65,veri!H:H,42)</f>
        <v>0</v>
      </c>
      <c r="Z44" s="121">
        <f t="shared" si="1"/>
        <v>0</v>
      </c>
      <c r="AA44" s="14"/>
      <c r="AB44" s="14"/>
      <c r="AC44" s="14"/>
      <c r="AD44" s="14"/>
      <c r="AE44" s="14"/>
    </row>
    <row r="45" spans="1:31" ht="10.5" customHeight="1" x14ac:dyDescent="0.15">
      <c r="A45" s="122" t="s">
        <v>734</v>
      </c>
      <c r="B45" s="123">
        <f>COUNTIFS(veri!G:G,66,veri!H:H,11)</f>
        <v>0</v>
      </c>
      <c r="C45" s="123">
        <f>COUNTIFS(veri!G:G,66,veri!H:H,12)</f>
        <v>0</v>
      </c>
      <c r="D45" s="123">
        <f>COUNTIFS(veri!G:G,66,veri!H:H,13)</f>
        <v>0</v>
      </c>
      <c r="E45" s="123">
        <f>COUNTIFS(veri!G:G,66,veri!H:H,14)</f>
        <v>0</v>
      </c>
      <c r="F45" s="123">
        <f>COUNTIFS(veri!G:G,66,veri!H:H,15)</f>
        <v>0</v>
      </c>
      <c r="G45" s="123">
        <f>COUNTIFS(veri!G:G,66,veri!H:H,16)</f>
        <v>0</v>
      </c>
      <c r="H45" s="123">
        <f>COUNTIFS(veri!G:G,66,veri!H:H,17)</f>
        <v>0</v>
      </c>
      <c r="I45" s="123">
        <f>COUNTIFS(veri!G:G,66,veri!H:H,18)</f>
        <v>0</v>
      </c>
      <c r="J45" s="123">
        <f>COUNTIFS(veri!G:G,66,veri!H:H,19)</f>
        <v>0</v>
      </c>
      <c r="K45" s="123">
        <f>COUNTIFS(veri!G:G,66,veri!H:H,20)</f>
        <v>0</v>
      </c>
      <c r="L45" s="123">
        <f>COUNTIFS(veri!G:G,66,veri!H:H,21)</f>
        <v>0</v>
      </c>
      <c r="M45" s="123">
        <f>COUNTIFS(veri!G:G,66,veri!H:H,22)</f>
        <v>0</v>
      </c>
      <c r="N45" s="123">
        <f>COUNTIFS(veri!G:G,66,veri!H:H,31)</f>
        <v>0</v>
      </c>
      <c r="O45" s="123">
        <f>COUNTIFS(veri!G:G,66,veri!H:H,32)</f>
        <v>0</v>
      </c>
      <c r="P45" s="123">
        <f>COUNTIFS(veri!G:G,66,veri!H:H,33)</f>
        <v>0</v>
      </c>
      <c r="Q45" s="123">
        <f>COUNTIFS(veri!G:G,66,veri!H:H,34)</f>
        <v>0</v>
      </c>
      <c r="R45" s="123">
        <f>COUNTIFS(veri!G:G,66,veri!H:H,35)</f>
        <v>0</v>
      </c>
      <c r="S45" s="123">
        <f>COUNTIFS(veri!G:G,66,veri!H:H,36)</f>
        <v>0</v>
      </c>
      <c r="T45" s="123">
        <f>COUNTIFS(veri!G:G,66,veri!H:H,37)</f>
        <v>0</v>
      </c>
      <c r="U45" s="123">
        <f>COUNTIFS(veri!G:G,66,veri!H:H,38)</f>
        <v>0</v>
      </c>
      <c r="V45" s="123">
        <f>COUNTIFS(veri!G:G,66,veri!H:H,39)</f>
        <v>0</v>
      </c>
      <c r="W45" s="123">
        <f>COUNTIFS(veri!G:G,66,veri!H:H,40)</f>
        <v>0</v>
      </c>
      <c r="X45" s="123">
        <f>COUNTIFS(veri!G:G,66,veri!H:H,41)</f>
        <v>0</v>
      </c>
      <c r="Y45" s="123">
        <f>COUNTIFS(veri!G:G,66,veri!H:H,42)</f>
        <v>0</v>
      </c>
      <c r="Z45" s="121">
        <f t="shared" si="1"/>
        <v>0</v>
      </c>
      <c r="AA45" s="14"/>
      <c r="AB45" s="14"/>
      <c r="AC45" s="14"/>
      <c r="AD45" s="14"/>
      <c r="AE45" s="14"/>
    </row>
    <row r="46" spans="1:31" ht="10.5" customHeight="1" x14ac:dyDescent="0.15">
      <c r="A46" s="120" t="s">
        <v>735</v>
      </c>
      <c r="B46" s="116">
        <f>COUNTIFS(veri!G:G,67,veri!H:H,11)</f>
        <v>0</v>
      </c>
      <c r="C46" s="116">
        <f>COUNTIFS(veri!G:G,67,veri!H:H,12)</f>
        <v>0</v>
      </c>
      <c r="D46" s="116">
        <f>COUNTIFS(veri!G:G,67,veri!H:H,13)</f>
        <v>0</v>
      </c>
      <c r="E46" s="116">
        <f>COUNTIFS(veri!G:G,67,veri!H:H,14)</f>
        <v>0</v>
      </c>
      <c r="F46" s="116">
        <f>COUNTIFS(veri!G:G,67,veri!H:H,15)</f>
        <v>0</v>
      </c>
      <c r="G46" s="116">
        <f>COUNTIFS(veri!G:G,67,veri!H:H,16)</f>
        <v>0</v>
      </c>
      <c r="H46" s="116">
        <f>COUNTIFS(veri!G:G,67,veri!H:H,17)</f>
        <v>0</v>
      </c>
      <c r="I46" s="116">
        <f>COUNTIFS(veri!G:G,67,veri!H:H,18)</f>
        <v>0</v>
      </c>
      <c r="J46" s="116">
        <f>COUNTIFS(veri!G:G,67,veri!H:H,19)</f>
        <v>0</v>
      </c>
      <c r="K46" s="116">
        <f>COUNTIFS(veri!G:G,67,veri!H:H,20)</f>
        <v>0</v>
      </c>
      <c r="L46" s="116">
        <f>COUNTIFS(veri!G:G,67,veri!H:H,21)</f>
        <v>0</v>
      </c>
      <c r="M46" s="116">
        <f>COUNTIFS(veri!G:G,67,veri!H:H,22)</f>
        <v>0</v>
      </c>
      <c r="N46" s="116">
        <f>COUNTIFS(veri!G:G,67,veri!H:H,31)</f>
        <v>0</v>
      </c>
      <c r="O46" s="116">
        <f>COUNTIFS(veri!G:G,67,veri!H:H,32)</f>
        <v>0</v>
      </c>
      <c r="P46" s="116">
        <f>COUNTIFS(veri!G:G,67,veri!H:H,33)</f>
        <v>0</v>
      </c>
      <c r="Q46" s="116">
        <f>COUNTIFS(veri!G:G,67,veri!H:H,34)</f>
        <v>0</v>
      </c>
      <c r="R46" s="116">
        <f>COUNTIFS(veri!G:G,67,veri!H:H,35)</f>
        <v>0</v>
      </c>
      <c r="S46" s="116">
        <f>COUNTIFS(veri!G:G,67,veri!H:H,36)</f>
        <v>0</v>
      </c>
      <c r="T46" s="116">
        <f>COUNTIFS(veri!G:G,67,veri!H:H,37)</f>
        <v>0</v>
      </c>
      <c r="U46" s="116">
        <f>COUNTIFS(veri!G:G,67,veri!H:H,38)</f>
        <v>0</v>
      </c>
      <c r="V46" s="116">
        <f>COUNTIFS(veri!G:G,67,veri!H:H,39)</f>
        <v>0</v>
      </c>
      <c r="W46" s="116">
        <f>COUNTIFS(veri!G:G,67,veri!H:H,40)</f>
        <v>0</v>
      </c>
      <c r="X46" s="116">
        <f>COUNTIFS(veri!G:G,67,veri!H:H,41)</f>
        <v>0</v>
      </c>
      <c r="Y46" s="116">
        <f>COUNTIFS(veri!G:G,67,veri!H:H,42)</f>
        <v>0</v>
      </c>
      <c r="Z46" s="121">
        <f t="shared" si="1"/>
        <v>0</v>
      </c>
      <c r="AA46" s="14"/>
      <c r="AB46" s="14"/>
      <c r="AC46" s="14"/>
      <c r="AD46" s="14"/>
      <c r="AE46" s="14"/>
    </row>
    <row r="47" spans="1:31" ht="10.5" customHeight="1" x14ac:dyDescent="0.15">
      <c r="A47" s="122" t="s">
        <v>736</v>
      </c>
      <c r="B47" s="123">
        <f>COUNTIFS(veri!G:G,68,veri!H:H,11)</f>
        <v>0</v>
      </c>
      <c r="C47" s="123">
        <f>COUNTIFS(veri!G:G,68,veri!H:H,12)</f>
        <v>0</v>
      </c>
      <c r="D47" s="123">
        <f>COUNTIFS(veri!G:G,68,veri!H:H,13)</f>
        <v>0</v>
      </c>
      <c r="E47" s="123">
        <f>COUNTIFS(veri!G:G,68,veri!H:H,14)</f>
        <v>0</v>
      </c>
      <c r="F47" s="123">
        <f>COUNTIFS(veri!G:G,68,veri!H:H,15)</f>
        <v>0</v>
      </c>
      <c r="G47" s="123">
        <f>COUNTIFS(veri!G:G,68,veri!H:H,16)</f>
        <v>0</v>
      </c>
      <c r="H47" s="123">
        <f>COUNTIFS(veri!G:G,68,veri!H:H,17)</f>
        <v>0</v>
      </c>
      <c r="I47" s="123">
        <f>COUNTIFS(veri!G:G,68,veri!H:H,18)</f>
        <v>0</v>
      </c>
      <c r="J47" s="123">
        <f>COUNTIFS(veri!G:G,68,veri!H:H,19)</f>
        <v>0</v>
      </c>
      <c r="K47" s="123">
        <f>COUNTIFS(veri!G:G,68,veri!H:H,20)</f>
        <v>0</v>
      </c>
      <c r="L47" s="123">
        <f>COUNTIFS(veri!G:G,68,veri!H:H,21)</f>
        <v>0</v>
      </c>
      <c r="M47" s="123">
        <f>COUNTIFS(veri!G:G,68,veri!H:H,22)</f>
        <v>0</v>
      </c>
      <c r="N47" s="123">
        <f>COUNTIFS(veri!G:G,68,veri!H:H,31)</f>
        <v>0</v>
      </c>
      <c r="O47" s="123">
        <f>COUNTIFS(veri!G:G,68,veri!H:H,32)</f>
        <v>0</v>
      </c>
      <c r="P47" s="123">
        <f>COUNTIFS(veri!G:G,68,veri!H:H,33)</f>
        <v>0</v>
      </c>
      <c r="Q47" s="123">
        <f>COUNTIFS(veri!G:G,68,veri!H:H,34)</f>
        <v>0</v>
      </c>
      <c r="R47" s="123">
        <f>COUNTIFS(veri!G:G,68,veri!H:H,35)</f>
        <v>0</v>
      </c>
      <c r="S47" s="123">
        <f>COUNTIFS(veri!G:G,68,veri!H:H,36)</f>
        <v>0</v>
      </c>
      <c r="T47" s="123">
        <f>COUNTIFS(veri!G:G,68,veri!H:H,37)</f>
        <v>0</v>
      </c>
      <c r="U47" s="123">
        <f>COUNTIFS(veri!G:G,68,veri!H:H,38)</f>
        <v>0</v>
      </c>
      <c r="V47" s="123">
        <f>COUNTIFS(veri!G:G,68,veri!H:H,39)</f>
        <v>0</v>
      </c>
      <c r="W47" s="123">
        <f>COUNTIFS(veri!G:G,68,veri!H:H,40)</f>
        <v>0</v>
      </c>
      <c r="X47" s="123">
        <f>COUNTIFS(veri!G:G,68,veri!H:H,41)</f>
        <v>0</v>
      </c>
      <c r="Y47" s="123">
        <f>COUNTIFS(veri!G:G,68,veri!H:H,42)</f>
        <v>0</v>
      </c>
      <c r="Z47" s="121">
        <f t="shared" si="1"/>
        <v>0</v>
      </c>
      <c r="AA47" s="14"/>
      <c r="AB47" s="14"/>
      <c r="AC47" s="14"/>
      <c r="AD47" s="14"/>
      <c r="AE47" s="14"/>
    </row>
    <row r="48" spans="1:31" ht="10.5" customHeight="1" x14ac:dyDescent="0.15">
      <c r="A48" s="120" t="s">
        <v>737</v>
      </c>
      <c r="B48" s="116">
        <f>COUNTIFS(veri!G:G,69,veri!H:H,11)</f>
        <v>0</v>
      </c>
      <c r="C48" s="116">
        <f>COUNTIFS(veri!G:G,69,veri!H:H,12)</f>
        <v>0</v>
      </c>
      <c r="D48" s="116">
        <f>COUNTIFS(veri!G:G,69,veri!H:H,13)</f>
        <v>0</v>
      </c>
      <c r="E48" s="116">
        <f>COUNTIFS(veri!G:G,69,veri!H:H,14)</f>
        <v>0</v>
      </c>
      <c r="F48" s="116">
        <f>COUNTIFS(veri!G:G,69,veri!H:H,15)</f>
        <v>0</v>
      </c>
      <c r="G48" s="116">
        <f>COUNTIFS(veri!G:G,69,veri!H:H,16)</f>
        <v>0</v>
      </c>
      <c r="H48" s="116">
        <f>COUNTIFS(veri!G:G,69,veri!H:H,17)</f>
        <v>0</v>
      </c>
      <c r="I48" s="116">
        <f>COUNTIFS(veri!G:G,69,veri!H:H,18)</f>
        <v>0</v>
      </c>
      <c r="J48" s="116">
        <f>COUNTIFS(veri!G:G,69,veri!H:H,19)</f>
        <v>0</v>
      </c>
      <c r="K48" s="116">
        <f>COUNTIFS(veri!G:G,69,veri!H:H,20)</f>
        <v>0</v>
      </c>
      <c r="L48" s="116">
        <f>COUNTIFS(veri!G:G,69,veri!H:H,21)</f>
        <v>0</v>
      </c>
      <c r="M48" s="116">
        <f>COUNTIFS(veri!G:G,69,veri!H:H,22)</f>
        <v>0</v>
      </c>
      <c r="N48" s="116">
        <f>COUNTIFS(veri!G:G,69,veri!H:H,31)</f>
        <v>0</v>
      </c>
      <c r="O48" s="116">
        <f>COUNTIFS(veri!G:G,69,veri!H:H,32)</f>
        <v>0</v>
      </c>
      <c r="P48" s="116">
        <f>COUNTIFS(veri!G:G,69,veri!H:H,33)</f>
        <v>0</v>
      </c>
      <c r="Q48" s="116">
        <f>COUNTIFS(veri!G:G,69,veri!H:H,34)</f>
        <v>0</v>
      </c>
      <c r="R48" s="116">
        <f>COUNTIFS(veri!G:G,69,veri!H:H,35)</f>
        <v>0</v>
      </c>
      <c r="S48" s="116">
        <f>COUNTIFS(veri!G:G,69,veri!H:H,36)</f>
        <v>0</v>
      </c>
      <c r="T48" s="116">
        <f>COUNTIFS(veri!G:G,69,veri!H:H,37)</f>
        <v>0</v>
      </c>
      <c r="U48" s="116">
        <f>COUNTIFS(veri!G:G,69,veri!H:H,38)</f>
        <v>0</v>
      </c>
      <c r="V48" s="116">
        <f>COUNTIFS(veri!G:G,69,veri!H:H,39)</f>
        <v>0</v>
      </c>
      <c r="W48" s="116">
        <f>COUNTIFS(veri!G:G,69,veri!H:H,40)</f>
        <v>0</v>
      </c>
      <c r="X48" s="116">
        <f>COUNTIFS(veri!G:G,69,veri!H:H,41)</f>
        <v>0</v>
      </c>
      <c r="Y48" s="116">
        <f>COUNTIFS(veri!G:G,69,veri!H:H,42)</f>
        <v>0</v>
      </c>
      <c r="Z48" s="121">
        <f t="shared" si="1"/>
        <v>0</v>
      </c>
      <c r="AA48" s="14"/>
      <c r="AB48" s="14"/>
      <c r="AC48" s="14"/>
      <c r="AD48" s="14"/>
      <c r="AE48" s="14"/>
    </row>
    <row r="49" spans="1:31" ht="10.5" customHeight="1" x14ac:dyDescent="0.15">
      <c r="A49" s="122" t="s">
        <v>738</v>
      </c>
      <c r="B49" s="123">
        <f>COUNTIFS(veri!G:G,70,veri!H:H,11)</f>
        <v>0</v>
      </c>
      <c r="C49" s="123">
        <f>COUNTIFS(veri!G:G,70,veri!H:H,12)</f>
        <v>0</v>
      </c>
      <c r="D49" s="123">
        <f>COUNTIFS(veri!G:G,70,veri!H:H,13)</f>
        <v>0</v>
      </c>
      <c r="E49" s="123">
        <f>COUNTIFS(veri!G:G,70,veri!H:H,14)</f>
        <v>0</v>
      </c>
      <c r="F49" s="123">
        <f>COUNTIFS(veri!G:G,70,veri!H:H,15)</f>
        <v>0</v>
      </c>
      <c r="G49" s="123">
        <f>COUNTIFS(veri!G:G,70,veri!H:H,16)</f>
        <v>0</v>
      </c>
      <c r="H49" s="123">
        <f>COUNTIFS(veri!G:G,70,veri!H:H,17)</f>
        <v>0</v>
      </c>
      <c r="I49" s="123">
        <f>COUNTIFS(veri!G:G,70,veri!H:H,18)</f>
        <v>0</v>
      </c>
      <c r="J49" s="123">
        <f>COUNTIFS(veri!G:G,70,veri!H:H,19)</f>
        <v>0</v>
      </c>
      <c r="K49" s="123">
        <f>COUNTIFS(veri!G:G,70,veri!H:H,20)</f>
        <v>0</v>
      </c>
      <c r="L49" s="123">
        <f>COUNTIFS(veri!G:G,70,veri!H:H,21)</f>
        <v>0</v>
      </c>
      <c r="M49" s="123">
        <f>COUNTIFS(veri!G:G,70,veri!H:H,22)</f>
        <v>0</v>
      </c>
      <c r="N49" s="123">
        <f>COUNTIFS(veri!G:G,70,veri!H:H,31)</f>
        <v>0</v>
      </c>
      <c r="O49" s="123">
        <f>COUNTIFS(veri!G:G,70,veri!H:H,32)</f>
        <v>0</v>
      </c>
      <c r="P49" s="123">
        <f>COUNTIFS(veri!G:G,70,veri!H:H,33)</f>
        <v>2</v>
      </c>
      <c r="Q49" s="123">
        <f>COUNTIFS(veri!G:G,70,veri!H:H,34)</f>
        <v>0</v>
      </c>
      <c r="R49" s="123">
        <f>COUNTIFS(veri!G:G,70,veri!H:H,35)</f>
        <v>0</v>
      </c>
      <c r="S49" s="123">
        <f>COUNTIFS(veri!G:G,70,veri!H:H,36)</f>
        <v>0</v>
      </c>
      <c r="T49" s="123">
        <f>COUNTIFS(veri!G:G,70,veri!H:H,37)</f>
        <v>0</v>
      </c>
      <c r="U49" s="123">
        <f>COUNTIFS(veri!G:G,70,veri!H:H,38)</f>
        <v>0</v>
      </c>
      <c r="V49" s="123">
        <f>COUNTIFS(veri!G:G,70,veri!H:H,39)</f>
        <v>0</v>
      </c>
      <c r="W49" s="123">
        <f>COUNTIFS(veri!G:G,70,veri!H:H,40)</f>
        <v>0</v>
      </c>
      <c r="X49" s="123">
        <f>COUNTIFS(veri!G:G,70,veri!H:H,41)</f>
        <v>0</v>
      </c>
      <c r="Y49" s="123">
        <f>COUNTIFS(veri!G:G,70,veri!H:H,42)</f>
        <v>0</v>
      </c>
      <c r="Z49" s="121">
        <f t="shared" si="1"/>
        <v>2</v>
      </c>
      <c r="AA49" s="14"/>
      <c r="AB49" s="14"/>
      <c r="AC49" s="14"/>
      <c r="AD49" s="14"/>
      <c r="AE49" s="14"/>
    </row>
    <row r="50" spans="1:31" ht="10.5" customHeight="1" x14ac:dyDescent="0.15">
      <c r="A50" s="120" t="s">
        <v>739</v>
      </c>
      <c r="B50" s="116">
        <f>COUNTIFS(veri!G:G,71,veri!H:H,11)</f>
        <v>0</v>
      </c>
      <c r="C50" s="116">
        <f>COUNTIFS(veri!G:G,71,veri!H:H,12)</f>
        <v>0</v>
      </c>
      <c r="D50" s="116">
        <f>COUNTIFS(veri!G:G,71,veri!H:H,13)</f>
        <v>0</v>
      </c>
      <c r="E50" s="116">
        <f>COUNTIFS(veri!G:G,71,veri!H:H,14)</f>
        <v>0</v>
      </c>
      <c r="F50" s="116">
        <f>COUNTIFS(veri!G:G,71,veri!H:H,15)</f>
        <v>0</v>
      </c>
      <c r="G50" s="116">
        <f>COUNTIFS(veri!G:G,71,veri!H:H,16)</f>
        <v>0</v>
      </c>
      <c r="H50" s="116">
        <f>COUNTIFS(veri!G:G,71,veri!H:H,17)</f>
        <v>0</v>
      </c>
      <c r="I50" s="116">
        <f>COUNTIFS(veri!G:G,71,veri!H:H,18)</f>
        <v>0</v>
      </c>
      <c r="J50" s="116">
        <f>COUNTIFS(veri!G:G,71,veri!H:H,19)</f>
        <v>0</v>
      </c>
      <c r="K50" s="116">
        <f>COUNTIFS(veri!G:G,71,veri!H:H,20)</f>
        <v>0</v>
      </c>
      <c r="L50" s="116">
        <f>COUNTIFS(veri!G:G,71,veri!H:H,21)</f>
        <v>0</v>
      </c>
      <c r="M50" s="116">
        <f>COUNTIFS(veri!G:G,71,veri!H:H,22)</f>
        <v>0</v>
      </c>
      <c r="N50" s="116">
        <f>COUNTIFS(veri!G:G,71,veri!H:H,31)</f>
        <v>0</v>
      </c>
      <c r="O50" s="116">
        <f>COUNTIFS(veri!G:G,71,veri!H:H,32)</f>
        <v>0</v>
      </c>
      <c r="P50" s="116">
        <f>COUNTIFS(veri!G:G,71,veri!H:H,33)</f>
        <v>0</v>
      </c>
      <c r="Q50" s="116">
        <f>COUNTIFS(veri!G:G,71,veri!H:H,34)</f>
        <v>0</v>
      </c>
      <c r="R50" s="116">
        <f>COUNTIFS(veri!G:G,71,veri!H:H,35)</f>
        <v>0</v>
      </c>
      <c r="S50" s="116">
        <f>COUNTIFS(veri!G:G,71,veri!H:H,36)</f>
        <v>0</v>
      </c>
      <c r="T50" s="116">
        <f>COUNTIFS(veri!G:G,71,veri!H:H,37)</f>
        <v>0</v>
      </c>
      <c r="U50" s="116">
        <f>COUNTIFS(veri!G:G,71,veri!H:H,38)</f>
        <v>0</v>
      </c>
      <c r="V50" s="116">
        <f>COUNTIFS(veri!G:G,71,veri!H:H,39)</f>
        <v>0</v>
      </c>
      <c r="W50" s="116">
        <f>COUNTIFS(veri!G:G,71,veri!H:H,40)</f>
        <v>0</v>
      </c>
      <c r="X50" s="116">
        <f>COUNTIFS(veri!G:G,71,veri!H:H,41)</f>
        <v>0</v>
      </c>
      <c r="Y50" s="116">
        <f>COUNTIFS(veri!G:G,71,veri!H:H,42)</f>
        <v>0</v>
      </c>
      <c r="Z50" s="121">
        <f t="shared" si="1"/>
        <v>0</v>
      </c>
      <c r="AA50" s="14"/>
      <c r="AB50" s="14"/>
      <c r="AC50" s="14"/>
      <c r="AD50" s="14"/>
      <c r="AE50" s="14"/>
    </row>
    <row r="51" spans="1:31" ht="10.5" customHeight="1" x14ac:dyDescent="0.15">
      <c r="A51" s="122" t="s">
        <v>740</v>
      </c>
      <c r="B51" s="123">
        <f>COUNTIFS(veri!G:G,72,veri!H:H,11)</f>
        <v>0</v>
      </c>
      <c r="C51" s="123">
        <f>COUNTIFS(veri!G:G,72,veri!H:H,12)</f>
        <v>0</v>
      </c>
      <c r="D51" s="123">
        <f>COUNTIFS(veri!G:G,72,veri!H:H,13)</f>
        <v>0</v>
      </c>
      <c r="E51" s="123">
        <f>COUNTIFS(veri!G:G,72,veri!H:H,14)</f>
        <v>0</v>
      </c>
      <c r="F51" s="123">
        <f>COUNTIFS(veri!G:G,72,veri!H:H,15)</f>
        <v>0</v>
      </c>
      <c r="G51" s="123">
        <f>COUNTIFS(veri!G:G,72,veri!H:H,16)</f>
        <v>0</v>
      </c>
      <c r="H51" s="123">
        <f>COUNTIFS(veri!G:G,72,veri!H:H,17)</f>
        <v>0</v>
      </c>
      <c r="I51" s="123">
        <f>COUNTIFS(veri!G:G,72,veri!H:H,18)</f>
        <v>0</v>
      </c>
      <c r="J51" s="123">
        <f>COUNTIFS(veri!G:G,72,veri!H:H,19)</f>
        <v>0</v>
      </c>
      <c r="K51" s="123">
        <f>COUNTIFS(veri!G:G,72,veri!H:H,20)</f>
        <v>0</v>
      </c>
      <c r="L51" s="123">
        <f>COUNTIFS(veri!G:G,72,veri!H:H,21)</f>
        <v>0</v>
      </c>
      <c r="M51" s="123">
        <f>COUNTIFS(veri!G:G,72,veri!H:H,22)</f>
        <v>0</v>
      </c>
      <c r="N51" s="123">
        <f>COUNTIFS(veri!G:G,72,veri!H:H,31)</f>
        <v>0</v>
      </c>
      <c r="O51" s="123">
        <f>COUNTIFS(veri!G:G,72,veri!H:H,32)</f>
        <v>0</v>
      </c>
      <c r="P51" s="123">
        <f>COUNTIFS(veri!G:G,72,veri!H:H,33)</f>
        <v>0</v>
      </c>
      <c r="Q51" s="123">
        <f>COUNTIFS(veri!G:G,72,veri!H:H,34)</f>
        <v>0</v>
      </c>
      <c r="R51" s="123">
        <f>COUNTIFS(veri!G:G,72,veri!H:H,35)</f>
        <v>0</v>
      </c>
      <c r="S51" s="123">
        <f>COUNTIFS(veri!G:G,72,veri!H:H,36)</f>
        <v>0</v>
      </c>
      <c r="T51" s="123">
        <f>COUNTIFS(veri!G:G,72,veri!H:H,37)</f>
        <v>0</v>
      </c>
      <c r="U51" s="123">
        <f>COUNTIFS(veri!G:G,72,veri!H:H,38)</f>
        <v>0</v>
      </c>
      <c r="V51" s="123">
        <f>COUNTIFS(veri!G:G,72,veri!H:H,39)</f>
        <v>0</v>
      </c>
      <c r="W51" s="123">
        <f>COUNTIFS(veri!G:G,72,veri!H:H,40)</f>
        <v>0</v>
      </c>
      <c r="X51" s="123">
        <f>COUNTIFS(veri!G:G,72,veri!H:H,41)</f>
        <v>0</v>
      </c>
      <c r="Y51" s="123">
        <f>COUNTIFS(veri!G:G,72,veri!H:H,42)</f>
        <v>0</v>
      </c>
      <c r="Z51" s="121">
        <f t="shared" si="1"/>
        <v>0</v>
      </c>
      <c r="AA51" s="14"/>
      <c r="AB51" s="14"/>
      <c r="AC51" s="14"/>
      <c r="AD51" s="14"/>
      <c r="AE51" s="14"/>
    </row>
    <row r="52" spans="1:31" ht="10.5" customHeight="1" x14ac:dyDescent="0.15">
      <c r="A52" s="120" t="s">
        <v>741</v>
      </c>
      <c r="B52" s="116">
        <f>COUNTIFS(veri!G:G,73,veri!H:H,11)</f>
        <v>0</v>
      </c>
      <c r="C52" s="116">
        <f>COUNTIFS(veri!G:G,73,veri!H:H,12)</f>
        <v>0</v>
      </c>
      <c r="D52" s="116">
        <f>COUNTIFS(veri!G:G,73,veri!H:H,13)</f>
        <v>0</v>
      </c>
      <c r="E52" s="116">
        <f>COUNTIFS(veri!G:G,73,veri!H:H,14)</f>
        <v>0</v>
      </c>
      <c r="F52" s="116">
        <f>COUNTIFS(veri!G:G,73,veri!H:H,15)</f>
        <v>0</v>
      </c>
      <c r="G52" s="116">
        <f>COUNTIFS(veri!G:G,73,veri!H:H,16)</f>
        <v>0</v>
      </c>
      <c r="H52" s="116">
        <f>COUNTIFS(veri!G:G,73,veri!H:H,17)</f>
        <v>0</v>
      </c>
      <c r="I52" s="116">
        <f>COUNTIFS(veri!G:G,73,veri!H:H,18)</f>
        <v>0</v>
      </c>
      <c r="J52" s="116">
        <f>COUNTIFS(veri!G:G,73,veri!H:H,19)</f>
        <v>0</v>
      </c>
      <c r="K52" s="116">
        <f>COUNTIFS(veri!G:G,73,veri!H:H,20)</f>
        <v>0</v>
      </c>
      <c r="L52" s="116">
        <f>COUNTIFS(veri!G:G,73,veri!H:H,21)</f>
        <v>0</v>
      </c>
      <c r="M52" s="116">
        <f>COUNTIFS(veri!G:G,73,veri!H:H,22)</f>
        <v>0</v>
      </c>
      <c r="N52" s="116">
        <f>COUNTIFS(veri!G:G,73,veri!H:H,31)</f>
        <v>0</v>
      </c>
      <c r="O52" s="116">
        <f>COUNTIFS(veri!G:G,73,veri!H:H,32)</f>
        <v>0</v>
      </c>
      <c r="P52" s="116">
        <f>COUNTIFS(veri!G:G,73,veri!H:H,33)</f>
        <v>0</v>
      </c>
      <c r="Q52" s="116">
        <f>COUNTIFS(veri!G:G,73,veri!H:H,34)</f>
        <v>0</v>
      </c>
      <c r="R52" s="116">
        <f>COUNTIFS(veri!G:G,73,veri!H:H,35)</f>
        <v>0</v>
      </c>
      <c r="S52" s="116">
        <f>COUNTIFS(veri!G:G,73,veri!H:H,36)</f>
        <v>0</v>
      </c>
      <c r="T52" s="116">
        <f>COUNTIFS(veri!G:G,73,veri!H:H,37)</f>
        <v>0</v>
      </c>
      <c r="U52" s="116">
        <f>COUNTIFS(veri!G:G,73,veri!H:H,38)</f>
        <v>0</v>
      </c>
      <c r="V52" s="116">
        <f>COUNTIFS(veri!G:G,73,veri!H:H,39)</f>
        <v>0</v>
      </c>
      <c r="W52" s="116">
        <f>COUNTIFS(veri!G:G,73,veri!H:H,40)</f>
        <v>0</v>
      </c>
      <c r="X52" s="116">
        <f>COUNTIFS(veri!G:G,73,veri!H:H,41)</f>
        <v>0</v>
      </c>
      <c r="Y52" s="116">
        <f>COUNTIFS(veri!G:G,73,veri!H:H,42)</f>
        <v>0</v>
      </c>
      <c r="Z52" s="121">
        <f t="shared" si="1"/>
        <v>0</v>
      </c>
      <c r="AA52" s="14"/>
      <c r="AB52" s="14"/>
      <c r="AC52" s="14"/>
      <c r="AD52" s="14"/>
      <c r="AE52" s="14"/>
    </row>
    <row r="53" spans="1:31" ht="10.5" customHeight="1" x14ac:dyDescent="0.15">
      <c r="A53" s="122" t="s">
        <v>742</v>
      </c>
      <c r="B53" s="123">
        <f>COUNTIFS(veri!G:G,74,veri!H:H,11)</f>
        <v>0</v>
      </c>
      <c r="C53" s="123">
        <f>COUNTIFS(veri!G:G,74,veri!H:H,12)</f>
        <v>0</v>
      </c>
      <c r="D53" s="123">
        <f>COUNTIFS(veri!G:G,74,veri!H:H,13)</f>
        <v>0</v>
      </c>
      <c r="E53" s="123">
        <f>COUNTIFS(veri!G:G,74,veri!H:H,14)</f>
        <v>0</v>
      </c>
      <c r="F53" s="123">
        <f>COUNTIFS(veri!G:G,74,veri!H:H,15)</f>
        <v>0</v>
      </c>
      <c r="G53" s="123">
        <f>COUNTIFS(veri!G:G,74,veri!H:H,16)</f>
        <v>0</v>
      </c>
      <c r="H53" s="123">
        <f>COUNTIFS(veri!G:G,74,veri!H:H,17)</f>
        <v>0</v>
      </c>
      <c r="I53" s="123">
        <f>COUNTIFS(veri!G:G,74,veri!H:H,18)</f>
        <v>0</v>
      </c>
      <c r="J53" s="123">
        <f>COUNTIFS(veri!G:G,74,veri!H:H,19)</f>
        <v>0</v>
      </c>
      <c r="K53" s="123">
        <f>COUNTIFS(veri!G:G,74,veri!H:H,20)</f>
        <v>0</v>
      </c>
      <c r="L53" s="123">
        <f>COUNTIFS(veri!G:G,74,veri!H:H,21)</f>
        <v>0</v>
      </c>
      <c r="M53" s="123">
        <f>COUNTIFS(veri!G:G,74,veri!H:H,22)</f>
        <v>0</v>
      </c>
      <c r="N53" s="123">
        <f>COUNTIFS(veri!G:G,74,veri!H:H,31)</f>
        <v>0</v>
      </c>
      <c r="O53" s="123">
        <f>COUNTIFS(veri!G:G,74,veri!H:H,32)</f>
        <v>0</v>
      </c>
      <c r="P53" s="123">
        <f>COUNTIFS(veri!G:G,74,veri!H:H,33)</f>
        <v>0</v>
      </c>
      <c r="Q53" s="123">
        <f>COUNTIFS(veri!G:G,74,veri!H:H,34)</f>
        <v>0</v>
      </c>
      <c r="R53" s="123">
        <f>COUNTIFS(veri!G:G,74,veri!H:H,35)</f>
        <v>0</v>
      </c>
      <c r="S53" s="123">
        <f>COUNTIFS(veri!G:G,74,veri!H:H,36)</f>
        <v>0</v>
      </c>
      <c r="T53" s="123">
        <f>COUNTIFS(veri!G:G,74,veri!H:H,37)</f>
        <v>0</v>
      </c>
      <c r="U53" s="123">
        <f>COUNTIFS(veri!G:G,74,veri!H:H,38)</f>
        <v>0</v>
      </c>
      <c r="V53" s="123">
        <f>COUNTIFS(veri!G:G,74,veri!H:H,39)</f>
        <v>0</v>
      </c>
      <c r="W53" s="123">
        <f>COUNTIFS(veri!G:G,74,veri!H:H,40)</f>
        <v>0</v>
      </c>
      <c r="X53" s="123">
        <f>COUNTIFS(veri!G:G,74,veri!H:H,41)</f>
        <v>0</v>
      </c>
      <c r="Y53" s="123">
        <f>COUNTIFS(veri!G:G,74,veri!H:H,42)</f>
        <v>0</v>
      </c>
      <c r="Z53" s="121">
        <f t="shared" si="1"/>
        <v>0</v>
      </c>
      <c r="AA53" s="14"/>
      <c r="AB53" s="14"/>
      <c r="AC53" s="14"/>
      <c r="AD53" s="14"/>
      <c r="AE53" s="14"/>
    </row>
    <row r="54" spans="1:31" ht="10.5" customHeight="1" x14ac:dyDescent="0.15">
      <c r="A54" s="120" t="s">
        <v>743</v>
      </c>
      <c r="B54" s="116">
        <f>COUNTIFS(veri!G:G,75,veri!H:H,11)</f>
        <v>0</v>
      </c>
      <c r="C54" s="116">
        <f>COUNTIFS(veri!G:G,75,veri!H:H,12)</f>
        <v>0</v>
      </c>
      <c r="D54" s="116">
        <f>COUNTIFS(veri!G:G,75,veri!H:H,13)</f>
        <v>0</v>
      </c>
      <c r="E54" s="116">
        <f>COUNTIFS(veri!G:G,75,veri!H:H,14)</f>
        <v>0</v>
      </c>
      <c r="F54" s="116">
        <f>COUNTIFS(veri!G:G,75,veri!H:H,15)</f>
        <v>0</v>
      </c>
      <c r="G54" s="116">
        <f>COUNTIFS(veri!G:G,75,veri!H:H,16)</f>
        <v>0</v>
      </c>
      <c r="H54" s="116">
        <f>COUNTIFS(veri!G:G,75,veri!H:H,17)</f>
        <v>0</v>
      </c>
      <c r="I54" s="116">
        <f>COUNTIFS(veri!G:G,75,veri!H:H,18)</f>
        <v>0</v>
      </c>
      <c r="J54" s="116">
        <f>COUNTIFS(veri!G:G,75,veri!H:H,19)</f>
        <v>0</v>
      </c>
      <c r="K54" s="116">
        <f>COUNTIFS(veri!G:G,75,veri!H:H,20)</f>
        <v>0</v>
      </c>
      <c r="L54" s="116">
        <f>COUNTIFS(veri!G:G,75,veri!H:H,21)</f>
        <v>0</v>
      </c>
      <c r="M54" s="116">
        <f>COUNTIFS(veri!G:G,75,veri!H:H,22)</f>
        <v>0</v>
      </c>
      <c r="N54" s="116">
        <f>COUNTIFS(veri!G:G,75,veri!H:H,31)</f>
        <v>0</v>
      </c>
      <c r="O54" s="116">
        <f>COUNTIFS(veri!G:G,75,veri!H:H,32)</f>
        <v>0</v>
      </c>
      <c r="P54" s="116">
        <f>COUNTIFS(veri!G:G,75,veri!H:H,33)</f>
        <v>0</v>
      </c>
      <c r="Q54" s="116">
        <f>COUNTIFS(veri!G:G,75,veri!H:H,34)</f>
        <v>0</v>
      </c>
      <c r="R54" s="116">
        <f>COUNTIFS(veri!G:G,75,veri!H:H,35)</f>
        <v>0</v>
      </c>
      <c r="S54" s="116">
        <f>COUNTIFS(veri!G:G,75,veri!H:H,36)</f>
        <v>0</v>
      </c>
      <c r="T54" s="116">
        <f>COUNTIFS(veri!G:G,75,veri!H:H,37)</f>
        <v>0</v>
      </c>
      <c r="U54" s="116">
        <f>COUNTIFS(veri!G:G,75,veri!H:H,38)</f>
        <v>0</v>
      </c>
      <c r="V54" s="116">
        <f>COUNTIFS(veri!G:G,75,veri!H:H,39)</f>
        <v>0</v>
      </c>
      <c r="W54" s="116">
        <f>COUNTIFS(veri!G:G,75,veri!H:H,40)</f>
        <v>0</v>
      </c>
      <c r="X54" s="116">
        <f>COUNTIFS(veri!G:G,75,veri!H:H,41)</f>
        <v>0</v>
      </c>
      <c r="Y54" s="116">
        <f>COUNTIFS(veri!G:G,75,veri!H:H,42)</f>
        <v>0</v>
      </c>
      <c r="Z54" s="121">
        <f t="shared" si="1"/>
        <v>0</v>
      </c>
      <c r="AA54" s="14"/>
      <c r="AB54" s="14"/>
      <c r="AC54" s="14"/>
      <c r="AD54" s="14"/>
      <c r="AE54" s="14"/>
    </row>
    <row r="55" spans="1:31" ht="10.5" customHeight="1" x14ac:dyDescent="0.15">
      <c r="A55" s="122" t="s">
        <v>744</v>
      </c>
      <c r="B55" s="123">
        <f>COUNTIFS(veri!G:G,76,veri!H:H,11)</f>
        <v>0</v>
      </c>
      <c r="C55" s="123">
        <f>COUNTIFS(veri!G:G,76,veri!H:H,12)</f>
        <v>0</v>
      </c>
      <c r="D55" s="123">
        <f>COUNTIFS(veri!G:G,76,veri!H:H,13)</f>
        <v>0</v>
      </c>
      <c r="E55" s="123">
        <f>COUNTIFS(veri!G:G,76,veri!H:H,14)</f>
        <v>0</v>
      </c>
      <c r="F55" s="123">
        <f>COUNTIFS(veri!G:G,76,veri!H:H,15)</f>
        <v>0</v>
      </c>
      <c r="G55" s="123">
        <f>COUNTIFS(veri!G:G,76,veri!H:H,16)</f>
        <v>0</v>
      </c>
      <c r="H55" s="123">
        <f>COUNTIFS(veri!G:G,76,veri!H:H,17)</f>
        <v>0</v>
      </c>
      <c r="I55" s="123">
        <f>COUNTIFS(veri!G:G,76,veri!H:H,18)</f>
        <v>0</v>
      </c>
      <c r="J55" s="123">
        <f>COUNTIFS(veri!G:G,76,veri!H:H,19)</f>
        <v>0</v>
      </c>
      <c r="K55" s="123">
        <f>COUNTIFS(veri!G:G,76,veri!H:H,20)</f>
        <v>0</v>
      </c>
      <c r="L55" s="123">
        <f>COUNTIFS(veri!G:G,76,veri!H:H,21)</f>
        <v>0</v>
      </c>
      <c r="M55" s="123">
        <f>COUNTIFS(veri!G:G,76,veri!H:H,22)</f>
        <v>0</v>
      </c>
      <c r="N55" s="123">
        <f>COUNTIFS(veri!G:G,76,veri!H:H,31)</f>
        <v>0</v>
      </c>
      <c r="O55" s="123">
        <f>COUNTIFS(veri!G:G,76,veri!H:H,32)</f>
        <v>0</v>
      </c>
      <c r="P55" s="123">
        <f>COUNTIFS(veri!G:G,76,veri!H:H,33)</f>
        <v>0</v>
      </c>
      <c r="Q55" s="123">
        <f>COUNTIFS(veri!G:G,76,veri!H:H,34)</f>
        <v>0</v>
      </c>
      <c r="R55" s="123">
        <f>COUNTIFS(veri!G:G,76,veri!H:H,35)</f>
        <v>0</v>
      </c>
      <c r="S55" s="123">
        <f>COUNTIFS(veri!G:G,76,veri!H:H,36)</f>
        <v>0</v>
      </c>
      <c r="T55" s="123">
        <f>COUNTIFS(veri!G:G,76,veri!H:H,37)</f>
        <v>0</v>
      </c>
      <c r="U55" s="123">
        <f>COUNTIFS(veri!G:G,76,veri!H:H,38)</f>
        <v>0</v>
      </c>
      <c r="V55" s="123">
        <f>COUNTIFS(veri!G:G,76,veri!H:H,39)</f>
        <v>0</v>
      </c>
      <c r="W55" s="123">
        <f>COUNTIFS(veri!G:G,76,veri!H:H,40)</f>
        <v>0</v>
      </c>
      <c r="X55" s="123">
        <f>COUNTIFS(veri!G:G,76,veri!H:H,41)</f>
        <v>0</v>
      </c>
      <c r="Y55" s="123">
        <f>COUNTIFS(veri!G:G,76,veri!H:H,42)</f>
        <v>0</v>
      </c>
      <c r="Z55" s="121">
        <f t="shared" si="1"/>
        <v>0</v>
      </c>
      <c r="AA55" s="14"/>
      <c r="AB55" s="14"/>
      <c r="AC55" s="14"/>
      <c r="AD55" s="14"/>
      <c r="AE55" s="14"/>
    </row>
    <row r="56" spans="1:31" ht="10.5" customHeight="1" x14ac:dyDescent="0.15">
      <c r="A56" s="120" t="s">
        <v>745</v>
      </c>
      <c r="B56" s="116">
        <f>COUNTIFS(veri!G:G,77,veri!H:H,11)</f>
        <v>0</v>
      </c>
      <c r="C56" s="116">
        <f>COUNTIFS(veri!G:G,77,veri!H:H,12)</f>
        <v>0</v>
      </c>
      <c r="D56" s="116">
        <f>COUNTIFS(veri!G:G,77,veri!H:H,13)</f>
        <v>0</v>
      </c>
      <c r="E56" s="116">
        <f>COUNTIFS(veri!G:G,77,veri!H:H,14)</f>
        <v>0</v>
      </c>
      <c r="F56" s="116">
        <f>COUNTIFS(veri!G:G,77,veri!H:H,15)</f>
        <v>0</v>
      </c>
      <c r="G56" s="116">
        <f>COUNTIFS(veri!G:G,77,veri!H:H,16)</f>
        <v>0</v>
      </c>
      <c r="H56" s="116">
        <f>COUNTIFS(veri!G:G,77,veri!H:H,17)</f>
        <v>0</v>
      </c>
      <c r="I56" s="116">
        <f>COUNTIFS(veri!G:G,77,veri!H:H,18)</f>
        <v>0</v>
      </c>
      <c r="J56" s="116">
        <f>COUNTIFS(veri!G:G,77,veri!H:H,19)</f>
        <v>0</v>
      </c>
      <c r="K56" s="116">
        <f>COUNTIFS(veri!G:G,77,veri!H:H,20)</f>
        <v>0</v>
      </c>
      <c r="L56" s="116">
        <f>COUNTIFS(veri!G:G,77,veri!H:H,21)</f>
        <v>0</v>
      </c>
      <c r="M56" s="116">
        <f>COUNTIFS(veri!G:G,77,veri!H:H,22)</f>
        <v>0</v>
      </c>
      <c r="N56" s="116">
        <f>COUNTIFS(veri!G:G,77,veri!H:H,31)</f>
        <v>0</v>
      </c>
      <c r="O56" s="116">
        <f>COUNTIFS(veri!G:G,77,veri!H:H,32)</f>
        <v>0</v>
      </c>
      <c r="P56" s="116">
        <f>COUNTIFS(veri!G:G,77,veri!H:H,33)</f>
        <v>0</v>
      </c>
      <c r="Q56" s="116">
        <f>COUNTIFS(veri!G:G,77,veri!H:H,34)</f>
        <v>0</v>
      </c>
      <c r="R56" s="116">
        <f>COUNTIFS(veri!G:G,77,veri!H:H,35)</f>
        <v>0</v>
      </c>
      <c r="S56" s="116">
        <f>COUNTIFS(veri!G:G,77,veri!H:H,36)</f>
        <v>0</v>
      </c>
      <c r="T56" s="116">
        <f>COUNTIFS(veri!G:G,77,veri!H:H,37)</f>
        <v>0</v>
      </c>
      <c r="U56" s="116">
        <f>COUNTIFS(veri!G:G,77,veri!H:H,38)</f>
        <v>0</v>
      </c>
      <c r="V56" s="116">
        <f>COUNTIFS(veri!G:G,77,veri!H:H,39)</f>
        <v>0</v>
      </c>
      <c r="W56" s="116">
        <f>COUNTIFS(veri!G:G,77,veri!H:H,40)</f>
        <v>0</v>
      </c>
      <c r="X56" s="116">
        <f>COUNTIFS(veri!G:G,77,veri!H:H,41)</f>
        <v>0</v>
      </c>
      <c r="Y56" s="116">
        <f>COUNTIFS(veri!G:G,77,veri!H:H,42)</f>
        <v>0</v>
      </c>
      <c r="Z56" s="121">
        <f t="shared" si="1"/>
        <v>0</v>
      </c>
      <c r="AA56" s="14"/>
      <c r="AB56" s="14"/>
      <c r="AC56" s="14"/>
      <c r="AD56" s="14"/>
      <c r="AE56" s="14"/>
    </row>
    <row r="57" spans="1:31" ht="10.5" customHeight="1" x14ac:dyDescent="0.15">
      <c r="A57" s="122" t="s">
        <v>746</v>
      </c>
      <c r="B57" s="123">
        <f>COUNTIFS(veri!G:G,78,veri!H:H,11)</f>
        <v>0</v>
      </c>
      <c r="C57" s="123">
        <f>COUNTIFS(veri!G:G,78,veri!H:H,12)</f>
        <v>0</v>
      </c>
      <c r="D57" s="123">
        <f>COUNTIFS(veri!G:G,78,veri!H:H,13)</f>
        <v>0</v>
      </c>
      <c r="E57" s="123">
        <f>COUNTIFS(veri!G:G,78,veri!H:H,14)</f>
        <v>0</v>
      </c>
      <c r="F57" s="123">
        <f>COUNTIFS(veri!G:G,78,veri!H:H,15)</f>
        <v>0</v>
      </c>
      <c r="G57" s="123">
        <f>COUNTIFS(veri!G:G,78,veri!H:H,16)</f>
        <v>0</v>
      </c>
      <c r="H57" s="123">
        <f>COUNTIFS(veri!G:G,78,veri!H:H,17)</f>
        <v>0</v>
      </c>
      <c r="I57" s="123">
        <f>COUNTIFS(veri!G:G,78,veri!H:H,18)</f>
        <v>0</v>
      </c>
      <c r="J57" s="123">
        <f>COUNTIFS(veri!G:G,78,veri!H:H,19)</f>
        <v>0</v>
      </c>
      <c r="K57" s="123">
        <f>COUNTIFS(veri!G:G,78,veri!H:H,20)</f>
        <v>0</v>
      </c>
      <c r="L57" s="123">
        <f>COUNTIFS(veri!G:G,78,veri!H:H,21)</f>
        <v>0</v>
      </c>
      <c r="M57" s="123">
        <f>COUNTIFS(veri!G:G,78,veri!H:H,22)</f>
        <v>0</v>
      </c>
      <c r="N57" s="123">
        <f>COUNTIFS(veri!G:G,78,veri!H:H,31)</f>
        <v>0</v>
      </c>
      <c r="O57" s="123">
        <f>COUNTIFS(veri!G:G,78,veri!H:H,32)</f>
        <v>0</v>
      </c>
      <c r="P57" s="123">
        <f>COUNTIFS(veri!G:G,78,veri!H:H,33)</f>
        <v>0</v>
      </c>
      <c r="Q57" s="123">
        <f>COUNTIFS(veri!G:G,78,veri!H:H,34)</f>
        <v>0</v>
      </c>
      <c r="R57" s="123">
        <f>COUNTIFS(veri!G:G,78,veri!H:H,35)</f>
        <v>0</v>
      </c>
      <c r="S57" s="123">
        <f>COUNTIFS(veri!G:G,78,veri!H:H,36)</f>
        <v>0</v>
      </c>
      <c r="T57" s="123">
        <f>COUNTIFS(veri!G:G,78,veri!H:H,37)</f>
        <v>0</v>
      </c>
      <c r="U57" s="123">
        <f>COUNTIFS(veri!G:G,78,veri!H:H,38)</f>
        <v>0</v>
      </c>
      <c r="V57" s="123">
        <f>COUNTIFS(veri!G:G,78,veri!H:H,39)</f>
        <v>0</v>
      </c>
      <c r="W57" s="123">
        <f>COUNTIFS(veri!G:G,78,veri!H:H,40)</f>
        <v>0</v>
      </c>
      <c r="X57" s="123">
        <f>COUNTIFS(veri!G:G,78,veri!H:H,41)</f>
        <v>0</v>
      </c>
      <c r="Y57" s="123">
        <f>COUNTIFS(veri!G:G,78,veri!H:H,42)</f>
        <v>0</v>
      </c>
      <c r="Z57" s="121">
        <f t="shared" si="1"/>
        <v>0</v>
      </c>
      <c r="AA57" s="14"/>
      <c r="AB57" s="14"/>
      <c r="AC57" s="14"/>
      <c r="AD57" s="14"/>
      <c r="AE57" s="14"/>
    </row>
    <row r="58" spans="1:31" ht="10.5" customHeight="1" x14ac:dyDescent="0.15">
      <c r="A58" s="120" t="s">
        <v>747</v>
      </c>
      <c r="B58" s="116">
        <f>COUNTIFS(veri!G:G,79,veri!H:H,11)</f>
        <v>0</v>
      </c>
      <c r="C58" s="116">
        <f>COUNTIFS(veri!G:G,79,veri!H:H,12)</f>
        <v>0</v>
      </c>
      <c r="D58" s="116">
        <f>COUNTIFS(veri!G:G,79,veri!H:H,13)</f>
        <v>0</v>
      </c>
      <c r="E58" s="116">
        <f>COUNTIFS(veri!G:G,79,veri!H:H,14)</f>
        <v>0</v>
      </c>
      <c r="F58" s="116">
        <f>COUNTIFS(veri!G:G,79,veri!H:H,15)</f>
        <v>0</v>
      </c>
      <c r="G58" s="116">
        <f>COUNTIFS(veri!G:G,79,veri!H:H,16)</f>
        <v>0</v>
      </c>
      <c r="H58" s="116">
        <f>COUNTIFS(veri!G:G,79,veri!H:H,17)</f>
        <v>0</v>
      </c>
      <c r="I58" s="116">
        <f>COUNTIFS(veri!G:G,79,veri!H:H,18)</f>
        <v>0</v>
      </c>
      <c r="J58" s="116">
        <f>COUNTIFS(veri!G:G,79,veri!H:H,19)</f>
        <v>0</v>
      </c>
      <c r="K58" s="116">
        <f>COUNTIFS(veri!G:G,79,veri!H:H,20)</f>
        <v>0</v>
      </c>
      <c r="L58" s="116">
        <f>COUNTIFS(veri!G:G,79,veri!H:H,21)</f>
        <v>0</v>
      </c>
      <c r="M58" s="116">
        <f>COUNTIFS(veri!G:G,79,veri!H:H,22)</f>
        <v>0</v>
      </c>
      <c r="N58" s="116">
        <f>COUNTIFS(veri!G:G,79,veri!H:H,31)</f>
        <v>0</v>
      </c>
      <c r="O58" s="116">
        <f>COUNTIFS(veri!G:G,79,veri!H:H,32)</f>
        <v>0</v>
      </c>
      <c r="P58" s="116">
        <f>COUNTIFS(veri!G:G,79,veri!H:H,33)</f>
        <v>0</v>
      </c>
      <c r="Q58" s="116">
        <f>COUNTIFS(veri!G:G,79,veri!H:H,34)</f>
        <v>0</v>
      </c>
      <c r="R58" s="116">
        <f>COUNTIFS(veri!G:G,79,veri!H:H,35)</f>
        <v>0</v>
      </c>
      <c r="S58" s="116">
        <f>COUNTIFS(veri!G:G,79,veri!H:H,36)</f>
        <v>0</v>
      </c>
      <c r="T58" s="116">
        <f>COUNTIFS(veri!G:G,79,veri!H:H,37)</f>
        <v>0</v>
      </c>
      <c r="U58" s="116">
        <f>COUNTIFS(veri!G:G,79,veri!H:H,38)</f>
        <v>0</v>
      </c>
      <c r="V58" s="116">
        <f>COUNTIFS(veri!G:G,79,veri!H:H,39)</f>
        <v>0</v>
      </c>
      <c r="W58" s="116">
        <f>COUNTIFS(veri!G:G,79,veri!H:H,40)</f>
        <v>0</v>
      </c>
      <c r="X58" s="116">
        <f>COUNTIFS(veri!G:G,79,veri!H:H,41)</f>
        <v>0</v>
      </c>
      <c r="Y58" s="116">
        <f>COUNTIFS(veri!G:G,79,veri!H:H,42)</f>
        <v>0</v>
      </c>
      <c r="Z58" s="121">
        <f t="shared" si="1"/>
        <v>0</v>
      </c>
      <c r="AA58" s="14"/>
      <c r="AB58" s="14"/>
      <c r="AC58" s="14"/>
      <c r="AD58" s="14"/>
      <c r="AE58" s="14"/>
    </row>
    <row r="59" spans="1:31" ht="10.5" customHeight="1" x14ac:dyDescent="0.15">
      <c r="A59" s="122" t="s">
        <v>748</v>
      </c>
      <c r="B59" s="123">
        <f>COUNTIFS(veri!G:G,80,veri!H:H,11)</f>
        <v>0</v>
      </c>
      <c r="C59" s="123">
        <f>COUNTIFS(veri!G:G,80,veri!H:H,12)</f>
        <v>0</v>
      </c>
      <c r="D59" s="123">
        <f>COUNTIFS(veri!G:G,80,veri!H:H,13)</f>
        <v>0</v>
      </c>
      <c r="E59" s="123">
        <f>COUNTIFS(veri!G:G,80,veri!H:H,14)</f>
        <v>0</v>
      </c>
      <c r="F59" s="123">
        <f>COUNTIFS(veri!G:G,80,veri!H:H,15)</f>
        <v>0</v>
      </c>
      <c r="G59" s="123">
        <f>COUNTIFS(veri!G:G,80,veri!H:H,16)</f>
        <v>0</v>
      </c>
      <c r="H59" s="123">
        <f>COUNTIFS(veri!G:G,80,veri!H:H,17)</f>
        <v>0</v>
      </c>
      <c r="I59" s="123">
        <f>COUNTIFS(veri!G:G,80,veri!H:H,18)</f>
        <v>0</v>
      </c>
      <c r="J59" s="123">
        <f>COUNTIFS(veri!G:G,80,veri!H:H,19)</f>
        <v>0</v>
      </c>
      <c r="K59" s="123">
        <f>COUNTIFS(veri!G:G,80,veri!H:H,20)</f>
        <v>0</v>
      </c>
      <c r="L59" s="123">
        <f>COUNTIFS(veri!G:G,80,veri!H:H,21)</f>
        <v>0</v>
      </c>
      <c r="M59" s="123">
        <f>COUNTIFS(veri!G:G,80,veri!H:H,22)</f>
        <v>0</v>
      </c>
      <c r="N59" s="123">
        <f>COUNTIFS(veri!G:G,80,veri!H:H,31)</f>
        <v>0</v>
      </c>
      <c r="O59" s="123">
        <f>COUNTIFS(veri!G:G,80,veri!H:H,32)</f>
        <v>0</v>
      </c>
      <c r="P59" s="123">
        <f>COUNTIFS(veri!G:G,80,veri!H:H,33)</f>
        <v>0</v>
      </c>
      <c r="Q59" s="123">
        <f>COUNTIFS(veri!G:G,80,veri!H:H,34)</f>
        <v>0</v>
      </c>
      <c r="R59" s="123">
        <f>COUNTIFS(veri!G:G,80,veri!H:H,35)</f>
        <v>0</v>
      </c>
      <c r="S59" s="123">
        <f>COUNTIFS(veri!G:G,80,veri!H:H,36)</f>
        <v>0</v>
      </c>
      <c r="T59" s="123">
        <f>COUNTIFS(veri!G:G,80,veri!H:H,37)</f>
        <v>0</v>
      </c>
      <c r="U59" s="123">
        <f>COUNTIFS(veri!G:G,80,veri!H:H,38)</f>
        <v>0</v>
      </c>
      <c r="V59" s="123">
        <f>COUNTIFS(veri!G:G,80,veri!H:H,39)</f>
        <v>0</v>
      </c>
      <c r="W59" s="123">
        <f>COUNTIFS(veri!G:G,80,veri!H:H,40)</f>
        <v>0</v>
      </c>
      <c r="X59" s="123">
        <f>COUNTIFS(veri!G:G,80,veri!H:H,41)</f>
        <v>0</v>
      </c>
      <c r="Y59" s="123">
        <f>COUNTIFS(veri!G:G,80,veri!H:H,42)</f>
        <v>0</v>
      </c>
      <c r="Z59" s="121">
        <f t="shared" si="1"/>
        <v>0</v>
      </c>
      <c r="AA59" s="14"/>
      <c r="AB59" s="14"/>
      <c r="AC59" s="14"/>
      <c r="AD59" s="14"/>
      <c r="AE59" s="14"/>
    </row>
    <row r="60" spans="1:31" ht="10.5" customHeight="1" x14ac:dyDescent="0.15">
      <c r="A60" s="120" t="s">
        <v>749</v>
      </c>
      <c r="B60" s="116">
        <f>COUNTIFS(veri!G:G,81,veri!H:H,11)</f>
        <v>0</v>
      </c>
      <c r="C60" s="116">
        <f>COUNTIFS(veri!G:G,81,veri!H:H,12)</f>
        <v>0</v>
      </c>
      <c r="D60" s="116">
        <f>COUNTIFS(veri!G:G,81,veri!H:H,13)</f>
        <v>0</v>
      </c>
      <c r="E60" s="116">
        <f>COUNTIFS(veri!G:G,81,veri!H:H,14)</f>
        <v>0</v>
      </c>
      <c r="F60" s="116">
        <f>COUNTIFS(veri!G:G,81,veri!H:H,15)</f>
        <v>0</v>
      </c>
      <c r="G60" s="116">
        <f>COUNTIFS(veri!G:G,81,veri!H:H,16)</f>
        <v>0</v>
      </c>
      <c r="H60" s="116">
        <f>COUNTIFS(veri!G:G,81,veri!H:H,17)</f>
        <v>0</v>
      </c>
      <c r="I60" s="116">
        <f>COUNTIFS(veri!G:G,81,veri!H:H,18)</f>
        <v>0</v>
      </c>
      <c r="J60" s="116">
        <f>COUNTIFS(veri!G:G,81,veri!H:H,19)</f>
        <v>0</v>
      </c>
      <c r="K60" s="116">
        <f>COUNTIFS(veri!G:G,81,veri!H:H,20)</f>
        <v>0</v>
      </c>
      <c r="L60" s="116">
        <f>COUNTIFS(veri!G:G,81,veri!H:H,21)</f>
        <v>0</v>
      </c>
      <c r="M60" s="116">
        <f>COUNTIFS(veri!G:G,81,veri!H:H,22)</f>
        <v>0</v>
      </c>
      <c r="N60" s="116">
        <f>COUNTIFS(veri!G:G,81,veri!H:H,31)</f>
        <v>0</v>
      </c>
      <c r="O60" s="116">
        <f>COUNTIFS(veri!G:G,81,veri!H:H,32)</f>
        <v>0</v>
      </c>
      <c r="P60" s="116">
        <f>COUNTIFS(veri!G:G,81,veri!H:H,33)</f>
        <v>0</v>
      </c>
      <c r="Q60" s="116">
        <f>COUNTIFS(veri!G:G,81,veri!H:H,34)</f>
        <v>0</v>
      </c>
      <c r="R60" s="116">
        <f>COUNTIFS(veri!G:G,81,veri!H:H,35)</f>
        <v>0</v>
      </c>
      <c r="S60" s="116">
        <f>COUNTIFS(veri!G:G,81,veri!H:H,36)</f>
        <v>0</v>
      </c>
      <c r="T60" s="116">
        <f>COUNTIFS(veri!G:G,81,veri!H:H,37)</f>
        <v>0</v>
      </c>
      <c r="U60" s="116">
        <f>COUNTIFS(veri!G:G,81,veri!H:H,38)</f>
        <v>0</v>
      </c>
      <c r="V60" s="116">
        <f>COUNTIFS(veri!G:G,81,veri!H:H,39)</f>
        <v>0</v>
      </c>
      <c r="W60" s="116">
        <f>COUNTIFS(veri!G:G,81,veri!H:H,40)</f>
        <v>0</v>
      </c>
      <c r="X60" s="116">
        <f>COUNTIFS(veri!G:G,81,veri!H:H,41)</f>
        <v>0</v>
      </c>
      <c r="Y60" s="116">
        <f>COUNTIFS(veri!G:G,81,veri!H:H,42)</f>
        <v>0</v>
      </c>
      <c r="Z60" s="121">
        <f t="shared" si="1"/>
        <v>0</v>
      </c>
      <c r="AA60" s="14"/>
      <c r="AB60" s="14"/>
      <c r="AC60" s="14"/>
      <c r="AD60" s="14"/>
      <c r="AE60" s="14"/>
    </row>
    <row r="61" spans="1:31" ht="10.5" customHeight="1" x14ac:dyDescent="0.15">
      <c r="A61" s="122" t="s">
        <v>750</v>
      </c>
      <c r="B61" s="123">
        <f>COUNTIFS(veri!G:G,82,veri!H:H,11)</f>
        <v>0</v>
      </c>
      <c r="C61" s="123">
        <f>COUNTIFS(veri!G:G,82,veri!H:H,12)</f>
        <v>0</v>
      </c>
      <c r="D61" s="123">
        <f>COUNTIFS(veri!G:G,82,veri!H:H,13)</f>
        <v>0</v>
      </c>
      <c r="E61" s="123">
        <f>COUNTIFS(veri!G:G,82,veri!H:H,14)</f>
        <v>0</v>
      </c>
      <c r="F61" s="123">
        <f>COUNTIFS(veri!G:G,82,veri!H:H,15)</f>
        <v>0</v>
      </c>
      <c r="G61" s="123">
        <f>COUNTIFS(veri!G:G,82,veri!H:H,16)</f>
        <v>0</v>
      </c>
      <c r="H61" s="123">
        <f>COUNTIFS(veri!G:G,82,veri!H:H,17)</f>
        <v>0</v>
      </c>
      <c r="I61" s="123">
        <f>COUNTIFS(veri!G:G,82,veri!H:H,18)</f>
        <v>0</v>
      </c>
      <c r="J61" s="123">
        <f>COUNTIFS(veri!G:G,82,veri!H:H,19)</f>
        <v>0</v>
      </c>
      <c r="K61" s="123">
        <f>COUNTIFS(veri!G:G,82,veri!H:H,20)</f>
        <v>0</v>
      </c>
      <c r="L61" s="123">
        <f>COUNTIFS(veri!G:G,82,veri!H:H,21)</f>
        <v>0</v>
      </c>
      <c r="M61" s="123">
        <f>COUNTIFS(veri!G:G,82,veri!H:H,22)</f>
        <v>0</v>
      </c>
      <c r="N61" s="123">
        <f>COUNTIFS(veri!G:G,82,veri!H:H,31)</f>
        <v>0</v>
      </c>
      <c r="O61" s="123">
        <f>COUNTIFS(veri!G:G,82,veri!H:H,32)</f>
        <v>0</v>
      </c>
      <c r="P61" s="123">
        <f>COUNTIFS(veri!G:G,82,veri!H:H,33)</f>
        <v>0</v>
      </c>
      <c r="Q61" s="123">
        <f>COUNTIFS(veri!G:G,82,veri!H:H,34)</f>
        <v>0</v>
      </c>
      <c r="R61" s="123">
        <f>COUNTIFS(veri!G:G,82,veri!H:H,35)</f>
        <v>0</v>
      </c>
      <c r="S61" s="123">
        <f>COUNTIFS(veri!G:G,82,veri!H:H,36)</f>
        <v>0</v>
      </c>
      <c r="T61" s="123">
        <f>COUNTIFS(veri!G:G,82,veri!H:H,37)</f>
        <v>0</v>
      </c>
      <c r="U61" s="123">
        <f>COUNTIFS(veri!G:G,82,veri!H:H,38)</f>
        <v>0</v>
      </c>
      <c r="V61" s="123">
        <f>COUNTIFS(veri!G:G,82,veri!H:H,39)</f>
        <v>0</v>
      </c>
      <c r="W61" s="123">
        <f>COUNTIFS(veri!G:G,82,veri!H:H,40)</f>
        <v>0</v>
      </c>
      <c r="X61" s="123">
        <f>COUNTIFS(veri!G:G,82,veri!H:H,41)</f>
        <v>0</v>
      </c>
      <c r="Y61" s="123">
        <f>COUNTIFS(veri!G:G,82,veri!H:H,42)</f>
        <v>0</v>
      </c>
      <c r="Z61" s="121">
        <f t="shared" si="1"/>
        <v>0</v>
      </c>
      <c r="AA61" s="14"/>
      <c r="AB61" s="14"/>
      <c r="AC61" s="14"/>
      <c r="AD61" s="14"/>
      <c r="AE61" s="14"/>
    </row>
    <row r="62" spans="1:31" ht="10.5" customHeight="1" x14ac:dyDescent="0.15">
      <c r="A62" s="120" t="s">
        <v>751</v>
      </c>
      <c r="B62" s="116">
        <f>COUNTIFS(veri!G:G,83,veri!H:H,11)</f>
        <v>0</v>
      </c>
      <c r="C62" s="116">
        <f>COUNTIFS(veri!G:G,83,veri!H:H,12)</f>
        <v>0</v>
      </c>
      <c r="D62" s="116">
        <f>COUNTIFS(veri!G:G,83,veri!H:H,13)</f>
        <v>0</v>
      </c>
      <c r="E62" s="116">
        <f>COUNTIFS(veri!G:G,83,veri!H:H,14)</f>
        <v>0</v>
      </c>
      <c r="F62" s="116">
        <f>COUNTIFS(veri!G:G,83,veri!H:H,15)</f>
        <v>0</v>
      </c>
      <c r="G62" s="116">
        <f>COUNTIFS(veri!G:G,83,veri!H:H,16)</f>
        <v>0</v>
      </c>
      <c r="H62" s="116">
        <f>COUNTIFS(veri!G:G,83,veri!H:H,17)</f>
        <v>0</v>
      </c>
      <c r="I62" s="116">
        <f>COUNTIFS(veri!G:G,83,veri!H:H,18)</f>
        <v>0</v>
      </c>
      <c r="J62" s="116">
        <f>COUNTIFS(veri!G:G,83,veri!H:H,19)</f>
        <v>0</v>
      </c>
      <c r="K62" s="116">
        <f>COUNTIFS(veri!G:G,83,veri!H:H,20)</f>
        <v>0</v>
      </c>
      <c r="L62" s="116">
        <f>COUNTIFS(veri!G:G,83,veri!H:H,21)</f>
        <v>0</v>
      </c>
      <c r="M62" s="116">
        <f>COUNTIFS(veri!G:G,83,veri!H:H,22)</f>
        <v>0</v>
      </c>
      <c r="N62" s="116">
        <f>COUNTIFS(veri!G:G,83,veri!H:H,31)</f>
        <v>0</v>
      </c>
      <c r="O62" s="116">
        <f>COUNTIFS(veri!G:G,83,veri!H:H,32)</f>
        <v>0</v>
      </c>
      <c r="P62" s="116">
        <f>COUNTIFS(veri!G:G,83,veri!H:H,33)</f>
        <v>0</v>
      </c>
      <c r="Q62" s="116">
        <f>COUNTIFS(veri!G:G,83,veri!H:H,34)</f>
        <v>0</v>
      </c>
      <c r="R62" s="116">
        <f>COUNTIFS(veri!G:G,83,veri!H:H,35)</f>
        <v>0</v>
      </c>
      <c r="S62" s="116">
        <f>COUNTIFS(veri!G:G,83,veri!H:H,36)</f>
        <v>0</v>
      </c>
      <c r="T62" s="116">
        <f>COUNTIFS(veri!G:G,83,veri!H:H,37)</f>
        <v>0</v>
      </c>
      <c r="U62" s="116">
        <f>COUNTIFS(veri!G:G,83,veri!H:H,38)</f>
        <v>0</v>
      </c>
      <c r="V62" s="116">
        <f>COUNTIFS(veri!G:G,83,veri!H:H,39)</f>
        <v>0</v>
      </c>
      <c r="W62" s="116">
        <f>COUNTIFS(veri!G:G,83,veri!H:H,40)</f>
        <v>0</v>
      </c>
      <c r="X62" s="116">
        <f>COUNTIFS(veri!G:G,83,veri!H:H,41)</f>
        <v>0</v>
      </c>
      <c r="Y62" s="116">
        <f>COUNTIFS(veri!G:G,83,veri!H:H,42)</f>
        <v>0</v>
      </c>
      <c r="Z62" s="121">
        <f t="shared" si="1"/>
        <v>0</v>
      </c>
      <c r="AA62" s="14"/>
      <c r="AB62" s="14"/>
      <c r="AC62" s="14"/>
      <c r="AD62" s="14"/>
      <c r="AE62" s="14"/>
    </row>
    <row r="63" spans="1:31" ht="10.5" customHeight="1" x14ac:dyDescent="0.15">
      <c r="A63" s="122" t="s">
        <v>752</v>
      </c>
      <c r="B63" s="123">
        <f>COUNTIFS(veri!G:G,84,veri!H:H,11)</f>
        <v>0</v>
      </c>
      <c r="C63" s="123">
        <f>COUNTIFS(veri!G:G,84,veri!H:H,12)</f>
        <v>0</v>
      </c>
      <c r="D63" s="123">
        <f>COUNTIFS(veri!G:G,84,veri!H:H,13)</f>
        <v>0</v>
      </c>
      <c r="E63" s="123">
        <f>COUNTIFS(veri!G:G,84,veri!H:H,14)</f>
        <v>0</v>
      </c>
      <c r="F63" s="123">
        <f>COUNTIFS(veri!G:G,84,veri!H:H,15)</f>
        <v>0</v>
      </c>
      <c r="G63" s="123">
        <f>COUNTIFS(veri!G:G,84,veri!H:H,16)</f>
        <v>0</v>
      </c>
      <c r="H63" s="123">
        <f>COUNTIFS(veri!G:G,84,veri!H:H,17)</f>
        <v>0</v>
      </c>
      <c r="I63" s="123">
        <f>COUNTIFS(veri!G:G,84,veri!H:H,18)</f>
        <v>0</v>
      </c>
      <c r="J63" s="123">
        <f>COUNTIFS(veri!G:G,84,veri!H:H,19)</f>
        <v>0</v>
      </c>
      <c r="K63" s="123">
        <f>COUNTIFS(veri!G:G,84,veri!H:H,20)</f>
        <v>0</v>
      </c>
      <c r="L63" s="123">
        <f>COUNTIFS(veri!G:G,84,veri!H:H,21)</f>
        <v>0</v>
      </c>
      <c r="M63" s="123">
        <f>COUNTIFS(veri!G:G,84,veri!H:H,22)</f>
        <v>0</v>
      </c>
      <c r="N63" s="123">
        <f>COUNTIFS(veri!G:G,84,veri!H:H,31)</f>
        <v>0</v>
      </c>
      <c r="O63" s="123">
        <f>COUNTIFS(veri!G:G,84,veri!H:H,32)</f>
        <v>0</v>
      </c>
      <c r="P63" s="123">
        <f>COUNTIFS(veri!G:G,84,veri!H:H,33)</f>
        <v>0</v>
      </c>
      <c r="Q63" s="123">
        <f>COUNTIFS(veri!G:G,84,veri!H:H,34)</f>
        <v>0</v>
      </c>
      <c r="R63" s="123">
        <f>COUNTIFS(veri!G:G,84,veri!H:H,35)</f>
        <v>0</v>
      </c>
      <c r="S63" s="123">
        <f>COUNTIFS(veri!G:G,84,veri!H:H,36)</f>
        <v>0</v>
      </c>
      <c r="T63" s="123">
        <f>COUNTIFS(veri!G:G,84,veri!H:H,37)</f>
        <v>0</v>
      </c>
      <c r="U63" s="123">
        <f>COUNTIFS(veri!G:G,84,veri!H:H,38)</f>
        <v>0</v>
      </c>
      <c r="V63" s="123">
        <f>COUNTIFS(veri!G:G,84,veri!H:H,39)</f>
        <v>0</v>
      </c>
      <c r="W63" s="123">
        <f>COUNTIFS(veri!G:G,84,veri!H:H,40)</f>
        <v>0</v>
      </c>
      <c r="X63" s="123">
        <f>COUNTIFS(veri!G:G,84,veri!H:H,41)</f>
        <v>0</v>
      </c>
      <c r="Y63" s="123">
        <f>COUNTIFS(veri!G:G,84,veri!H:H,42)</f>
        <v>0</v>
      </c>
      <c r="Z63" s="121">
        <f t="shared" si="1"/>
        <v>0</v>
      </c>
      <c r="AA63" s="14"/>
      <c r="AB63" s="14"/>
      <c r="AC63" s="14"/>
      <c r="AD63" s="14"/>
      <c r="AE63" s="14"/>
    </row>
    <row r="64" spans="1:31" ht="10.5" customHeight="1" x14ac:dyDescent="0.15">
      <c r="A64" s="120" t="s">
        <v>753</v>
      </c>
      <c r="B64" s="116">
        <f>COUNTIFS(veri!G:G,85,veri!H:H,11)</f>
        <v>0</v>
      </c>
      <c r="C64" s="116">
        <f>COUNTIFS(veri!G:G,85,veri!H:H,12)</f>
        <v>0</v>
      </c>
      <c r="D64" s="116">
        <f>COUNTIFS(veri!G:G,85,veri!H:H,13)</f>
        <v>0</v>
      </c>
      <c r="E64" s="116">
        <f>COUNTIFS(veri!G:G,85,veri!H:H,14)</f>
        <v>0</v>
      </c>
      <c r="F64" s="116">
        <f>COUNTIFS(veri!G:G,85,veri!H:H,15)</f>
        <v>0</v>
      </c>
      <c r="G64" s="116">
        <f>COUNTIFS(veri!G:G,85,veri!H:H,16)</f>
        <v>0</v>
      </c>
      <c r="H64" s="116">
        <f>COUNTIFS(veri!G:G,85,veri!H:H,17)</f>
        <v>0</v>
      </c>
      <c r="I64" s="116">
        <f>COUNTIFS(veri!G:G,85,veri!H:H,18)</f>
        <v>0</v>
      </c>
      <c r="J64" s="116">
        <f>COUNTIFS(veri!G:G,85,veri!H:H,19)</f>
        <v>0</v>
      </c>
      <c r="K64" s="116">
        <f>COUNTIFS(veri!G:G,85,veri!H:H,20)</f>
        <v>0</v>
      </c>
      <c r="L64" s="116">
        <f>COUNTIFS(veri!G:G,85,veri!H:H,21)</f>
        <v>0</v>
      </c>
      <c r="M64" s="116">
        <f>COUNTIFS(veri!G:G,85,veri!H:H,22)</f>
        <v>0</v>
      </c>
      <c r="N64" s="116">
        <f>COUNTIFS(veri!G:G,85,veri!H:H,31)</f>
        <v>0</v>
      </c>
      <c r="O64" s="116">
        <f>COUNTIFS(veri!G:G,85,veri!H:H,32)</f>
        <v>0</v>
      </c>
      <c r="P64" s="116">
        <f>COUNTIFS(veri!G:G,85,veri!H:H,33)</f>
        <v>0</v>
      </c>
      <c r="Q64" s="116">
        <f>COUNTIFS(veri!G:G,85,veri!H:H,34)</f>
        <v>0</v>
      </c>
      <c r="R64" s="116">
        <f>COUNTIFS(veri!G:G,85,veri!H:H,35)</f>
        <v>0</v>
      </c>
      <c r="S64" s="116">
        <f>COUNTIFS(veri!G:G,85,veri!H:H,36)</f>
        <v>0</v>
      </c>
      <c r="T64" s="116">
        <f>COUNTIFS(veri!G:G,85,veri!H:H,37)</f>
        <v>0</v>
      </c>
      <c r="U64" s="116">
        <f>COUNTIFS(veri!G:G,85,veri!H:H,38)</f>
        <v>0</v>
      </c>
      <c r="V64" s="116">
        <f>COUNTIFS(veri!G:G,85,veri!H:H,39)</f>
        <v>0</v>
      </c>
      <c r="W64" s="116">
        <f>COUNTIFS(veri!G:G,85,veri!H:H,40)</f>
        <v>0</v>
      </c>
      <c r="X64" s="116">
        <f>COUNTIFS(veri!G:G,85,veri!H:H,41)</f>
        <v>0</v>
      </c>
      <c r="Y64" s="116">
        <f>COUNTIFS(veri!G:G,85,veri!H:H,42)</f>
        <v>0</v>
      </c>
      <c r="Z64" s="121">
        <f t="shared" si="1"/>
        <v>0</v>
      </c>
      <c r="AA64" s="14"/>
      <c r="AB64" s="14"/>
      <c r="AC64" s="14"/>
      <c r="AD64" s="14"/>
      <c r="AE64" s="14"/>
    </row>
    <row r="65" spans="1:31" ht="10.5" customHeight="1" x14ac:dyDescent="0.15">
      <c r="A65" s="122" t="s">
        <v>754</v>
      </c>
      <c r="B65" s="123">
        <f>COUNTIFS(veri!G:G,86,veri!H:H,11)</f>
        <v>0</v>
      </c>
      <c r="C65" s="123">
        <f>COUNTIFS(veri!G:G,86,veri!H:H,12)</f>
        <v>0</v>
      </c>
      <c r="D65" s="123">
        <f>COUNTIFS(veri!G:G,86,veri!H:H,13)</f>
        <v>0</v>
      </c>
      <c r="E65" s="123">
        <f>COUNTIFS(veri!G:G,86,veri!H:H,14)</f>
        <v>0</v>
      </c>
      <c r="F65" s="123">
        <f>COUNTIFS(veri!G:G,86,veri!H:H,15)</f>
        <v>0</v>
      </c>
      <c r="G65" s="123">
        <f>COUNTIFS(veri!G:G,86,veri!H:H,16)</f>
        <v>0</v>
      </c>
      <c r="H65" s="123">
        <f>COUNTIFS(veri!G:G,86,veri!H:H,17)</f>
        <v>0</v>
      </c>
      <c r="I65" s="123">
        <f>COUNTIFS(veri!G:G,86,veri!H:H,18)</f>
        <v>0</v>
      </c>
      <c r="J65" s="123">
        <f>COUNTIFS(veri!G:G,86,veri!H:H,19)</f>
        <v>0</v>
      </c>
      <c r="K65" s="123">
        <f>COUNTIFS(veri!G:G,86,veri!H:H,20)</f>
        <v>0</v>
      </c>
      <c r="L65" s="123">
        <f>COUNTIFS(veri!G:G,86,veri!H:H,21)</f>
        <v>0</v>
      </c>
      <c r="M65" s="123">
        <f>COUNTIFS(veri!G:G,86,veri!H:H,22)</f>
        <v>0</v>
      </c>
      <c r="N65" s="123">
        <f>COUNTIFS(veri!G:G,86,veri!H:H,31)</f>
        <v>0</v>
      </c>
      <c r="O65" s="123">
        <f>COUNTIFS(veri!G:G,86,veri!H:H,32)</f>
        <v>0</v>
      </c>
      <c r="P65" s="123">
        <f>COUNTIFS(veri!G:G,86,veri!H:H,33)</f>
        <v>1</v>
      </c>
      <c r="Q65" s="123">
        <f>COUNTIFS(veri!G:G,86,veri!H:H,34)</f>
        <v>0</v>
      </c>
      <c r="R65" s="123">
        <f>COUNTIFS(veri!G:G,86,veri!H:H,35)</f>
        <v>0</v>
      </c>
      <c r="S65" s="123">
        <f>COUNTIFS(veri!G:G,86,veri!H:H,36)</f>
        <v>0</v>
      </c>
      <c r="T65" s="123">
        <f>COUNTIFS(veri!G:G,86,veri!H:H,37)</f>
        <v>0</v>
      </c>
      <c r="U65" s="123">
        <f>COUNTIFS(veri!G:G,86,veri!H:H,38)</f>
        <v>0</v>
      </c>
      <c r="V65" s="123">
        <f>COUNTIFS(veri!G:G,86,veri!H:H,39)</f>
        <v>0</v>
      </c>
      <c r="W65" s="123">
        <f>COUNTIFS(veri!G:G,86,veri!H:H,40)</f>
        <v>0</v>
      </c>
      <c r="X65" s="123">
        <f>COUNTIFS(veri!G:G,86,veri!H:H,41)</f>
        <v>0</v>
      </c>
      <c r="Y65" s="123">
        <f>COUNTIFS(veri!G:G,86,veri!H:H,42)</f>
        <v>0</v>
      </c>
      <c r="Z65" s="121">
        <f t="shared" si="1"/>
        <v>1</v>
      </c>
      <c r="AA65" s="14"/>
      <c r="AB65" s="14"/>
      <c r="AC65" s="14"/>
      <c r="AD65" s="14"/>
      <c r="AE65" s="14"/>
    </row>
    <row r="66" spans="1:31" ht="10.5" customHeight="1" x14ac:dyDescent="0.15">
      <c r="A66" s="120" t="s">
        <v>755</v>
      </c>
      <c r="B66" s="116">
        <f>COUNTIFS(veri!G:G,87,veri!H:H,11)</f>
        <v>0</v>
      </c>
      <c r="C66" s="116">
        <f>COUNTIFS(veri!G:G,87,veri!H:H,12)</f>
        <v>0</v>
      </c>
      <c r="D66" s="116">
        <f>COUNTIFS(veri!G:G,87,veri!H:H,13)</f>
        <v>0</v>
      </c>
      <c r="E66" s="116">
        <f>COUNTIFS(veri!G:G,87,veri!H:H,14)</f>
        <v>0</v>
      </c>
      <c r="F66" s="116">
        <f>COUNTIFS(veri!G:G,87,veri!H:H,15)</f>
        <v>0</v>
      </c>
      <c r="G66" s="116">
        <f>COUNTIFS(veri!G:G,87,veri!H:H,16)</f>
        <v>0</v>
      </c>
      <c r="H66" s="116">
        <f>COUNTIFS(veri!G:G,87,veri!H:H,17)</f>
        <v>0</v>
      </c>
      <c r="I66" s="116">
        <f>COUNTIFS(veri!G:G,87,veri!H:H,18)</f>
        <v>0</v>
      </c>
      <c r="J66" s="116">
        <f>COUNTIFS(veri!G:G,87,veri!H:H,19)</f>
        <v>0</v>
      </c>
      <c r="K66" s="116">
        <f>COUNTIFS(veri!G:G,87,veri!H:H,20)</f>
        <v>0</v>
      </c>
      <c r="L66" s="116">
        <f>COUNTIFS(veri!G:G,87,veri!H:H,21)</f>
        <v>0</v>
      </c>
      <c r="M66" s="116">
        <f>COUNTIFS(veri!G:G,87,veri!H:H,22)</f>
        <v>0</v>
      </c>
      <c r="N66" s="116">
        <f>COUNTIFS(veri!G:G,87,veri!H:H,31)</f>
        <v>0</v>
      </c>
      <c r="O66" s="116">
        <f>COUNTIFS(veri!G:G,87,veri!H:H,32)</f>
        <v>0</v>
      </c>
      <c r="P66" s="116">
        <f>COUNTIFS(veri!G:G,87,veri!H:H,33)</f>
        <v>0</v>
      </c>
      <c r="Q66" s="116">
        <f>COUNTIFS(veri!G:G,87,veri!H:H,34)</f>
        <v>0</v>
      </c>
      <c r="R66" s="116">
        <f>COUNTIFS(veri!G:G,87,veri!H:H,35)</f>
        <v>0</v>
      </c>
      <c r="S66" s="116">
        <f>COUNTIFS(veri!G:G,87,veri!H:H,36)</f>
        <v>0</v>
      </c>
      <c r="T66" s="116">
        <f>COUNTIFS(veri!G:G,87,veri!H:H,37)</f>
        <v>0</v>
      </c>
      <c r="U66" s="116">
        <f>COUNTIFS(veri!G:G,87,veri!H:H,38)</f>
        <v>0</v>
      </c>
      <c r="V66" s="116">
        <f>COUNTIFS(veri!G:G,87,veri!H:H,39)</f>
        <v>0</v>
      </c>
      <c r="W66" s="116">
        <f>COUNTIFS(veri!G:G,87,veri!H:H,40)</f>
        <v>0</v>
      </c>
      <c r="X66" s="116">
        <f>COUNTIFS(veri!G:G,87,veri!H:H,41)</f>
        <v>0</v>
      </c>
      <c r="Y66" s="116">
        <f>COUNTIFS(veri!G:G,87,veri!H:H,42)</f>
        <v>0</v>
      </c>
      <c r="Z66" s="121">
        <f t="shared" si="1"/>
        <v>0</v>
      </c>
      <c r="AA66" s="14"/>
      <c r="AB66" s="14"/>
      <c r="AC66" s="14"/>
      <c r="AD66" s="14"/>
      <c r="AE66" s="14"/>
    </row>
    <row r="67" spans="1:31" ht="10.5" customHeight="1" x14ac:dyDescent="0.15">
      <c r="A67" s="122" t="s">
        <v>756</v>
      </c>
      <c r="B67" s="123">
        <f>COUNTIFS(veri!G:G,88,veri!H:H,11)</f>
        <v>0</v>
      </c>
      <c r="C67" s="123">
        <f>COUNTIFS(veri!G:G,88,veri!H:H,12)</f>
        <v>0</v>
      </c>
      <c r="D67" s="123">
        <f>COUNTIFS(veri!G:G,88,veri!H:H,13)</f>
        <v>0</v>
      </c>
      <c r="E67" s="123">
        <f>COUNTIFS(veri!G:G,88,veri!H:H,14)</f>
        <v>0</v>
      </c>
      <c r="F67" s="123">
        <f>COUNTIFS(veri!G:G,88,veri!H:H,15)</f>
        <v>0</v>
      </c>
      <c r="G67" s="123">
        <f>COUNTIFS(veri!G:G,88,veri!H:H,16)</f>
        <v>0</v>
      </c>
      <c r="H67" s="123">
        <f>COUNTIFS(veri!G:G,88,veri!H:H,17)</f>
        <v>0</v>
      </c>
      <c r="I67" s="123">
        <f>COUNTIFS(veri!G:G,88,veri!H:H,18)</f>
        <v>0</v>
      </c>
      <c r="J67" s="123">
        <f>COUNTIFS(veri!G:G,88,veri!H:H,19)</f>
        <v>0</v>
      </c>
      <c r="K67" s="123">
        <f>COUNTIFS(veri!G:G,88,veri!H:H,20)</f>
        <v>0</v>
      </c>
      <c r="L67" s="123">
        <f>COUNTIFS(veri!G:G,88,veri!H:H,21)</f>
        <v>0</v>
      </c>
      <c r="M67" s="123">
        <f>COUNTIFS(veri!G:G,88,veri!H:H,22)</f>
        <v>0</v>
      </c>
      <c r="N67" s="123">
        <f>COUNTIFS(veri!G:G,88,veri!H:H,31)</f>
        <v>0</v>
      </c>
      <c r="O67" s="123">
        <f>COUNTIFS(veri!G:G,88,veri!H:H,32)</f>
        <v>0</v>
      </c>
      <c r="P67" s="123">
        <f>COUNTIFS(veri!G:G,88,veri!H:H,33)</f>
        <v>0</v>
      </c>
      <c r="Q67" s="123">
        <f>COUNTIFS(veri!G:G,88,veri!H:H,34)</f>
        <v>0</v>
      </c>
      <c r="R67" s="123">
        <f>COUNTIFS(veri!G:G,88,veri!H:H,35)</f>
        <v>0</v>
      </c>
      <c r="S67" s="123">
        <f>COUNTIFS(veri!G:G,88,veri!H:H,36)</f>
        <v>0</v>
      </c>
      <c r="T67" s="123">
        <f>COUNTIFS(veri!G:G,88,veri!H:H,37)</f>
        <v>0</v>
      </c>
      <c r="U67" s="123">
        <f>COUNTIFS(veri!G:G,88,veri!H:H,38)</f>
        <v>0</v>
      </c>
      <c r="V67" s="123">
        <f>COUNTIFS(veri!G:G,88,veri!H:H,39)</f>
        <v>0</v>
      </c>
      <c r="W67" s="123">
        <f>COUNTIFS(veri!G:G,88,veri!H:H,40)</f>
        <v>0</v>
      </c>
      <c r="X67" s="123">
        <f>COUNTIFS(veri!G:G,88,veri!H:H,41)</f>
        <v>0</v>
      </c>
      <c r="Y67" s="123">
        <f>COUNTIFS(veri!G:G,88,veri!H:H,42)</f>
        <v>0</v>
      </c>
      <c r="Z67" s="121">
        <f t="shared" si="1"/>
        <v>0</v>
      </c>
      <c r="AA67" s="14"/>
      <c r="AB67" s="14"/>
      <c r="AC67" s="14"/>
      <c r="AD67" s="14"/>
      <c r="AE67" s="14"/>
    </row>
    <row r="68" spans="1:31" ht="10.5" customHeight="1" x14ac:dyDescent="0.15">
      <c r="A68" s="120" t="s">
        <v>757</v>
      </c>
      <c r="B68" s="116">
        <f>COUNTIFS(veri!G:G,89,veri!H:H,11)</f>
        <v>0</v>
      </c>
      <c r="C68" s="116">
        <f>COUNTIFS(veri!G:G,89,veri!H:H,12)</f>
        <v>0</v>
      </c>
      <c r="D68" s="116">
        <f>COUNTIFS(veri!G:G,89,veri!H:H,13)</f>
        <v>0</v>
      </c>
      <c r="E68" s="116">
        <f>COUNTIFS(veri!G:G,89,veri!H:H,14)</f>
        <v>0</v>
      </c>
      <c r="F68" s="116">
        <f>COUNTIFS(veri!G:G,89,veri!H:H,15)</f>
        <v>0</v>
      </c>
      <c r="G68" s="116">
        <f>COUNTIFS(veri!G:G,89,veri!H:H,16)</f>
        <v>0</v>
      </c>
      <c r="H68" s="116">
        <f>COUNTIFS(veri!G:G,89,veri!H:H,17)</f>
        <v>0</v>
      </c>
      <c r="I68" s="116">
        <f>COUNTIFS(veri!G:G,89,veri!H:H,18)</f>
        <v>0</v>
      </c>
      <c r="J68" s="116">
        <f>COUNTIFS(veri!G:G,89,veri!H:H,19)</f>
        <v>0</v>
      </c>
      <c r="K68" s="116">
        <f>COUNTIFS(veri!G:G,89,veri!H:H,20)</f>
        <v>0</v>
      </c>
      <c r="L68" s="116">
        <f>COUNTIFS(veri!G:G,89,veri!H:H,21)</f>
        <v>0</v>
      </c>
      <c r="M68" s="116">
        <f>COUNTIFS(veri!G:G,89,veri!H:H,22)</f>
        <v>0</v>
      </c>
      <c r="N68" s="116">
        <f>COUNTIFS(veri!G:G,89,veri!H:H,31)</f>
        <v>0</v>
      </c>
      <c r="O68" s="116">
        <f>COUNTIFS(veri!G:G,89,veri!H:H,32)</f>
        <v>0</v>
      </c>
      <c r="P68" s="116">
        <f>COUNTIFS(veri!G:G,89,veri!H:H,33)</f>
        <v>0</v>
      </c>
      <c r="Q68" s="116">
        <f>COUNTIFS(veri!G:G,89,veri!H:H,34)</f>
        <v>0</v>
      </c>
      <c r="R68" s="116">
        <f>COUNTIFS(veri!G:G,89,veri!H:H,35)</f>
        <v>0</v>
      </c>
      <c r="S68" s="116">
        <f>COUNTIFS(veri!G:G,89,veri!H:H,36)</f>
        <v>0</v>
      </c>
      <c r="T68" s="116">
        <f>COUNTIFS(veri!G:G,89,veri!H:H,37)</f>
        <v>0</v>
      </c>
      <c r="U68" s="116">
        <f>COUNTIFS(veri!G:G,89,veri!H:H,38)</f>
        <v>0</v>
      </c>
      <c r="V68" s="116">
        <f>COUNTIFS(veri!G:G,89,veri!H:H,39)</f>
        <v>0</v>
      </c>
      <c r="W68" s="116">
        <f>COUNTIFS(veri!G:G,89,veri!H:H,40)</f>
        <v>0</v>
      </c>
      <c r="X68" s="116">
        <f>COUNTIFS(veri!G:G,89,veri!H:H,41)</f>
        <v>0</v>
      </c>
      <c r="Y68" s="116">
        <f>COUNTIFS(veri!G:G,89,veri!H:H,42)</f>
        <v>0</v>
      </c>
      <c r="Z68" s="121">
        <f t="shared" ref="Z68:Z84" si="2">SUM(B68:Y68)</f>
        <v>0</v>
      </c>
      <c r="AA68" s="14"/>
      <c r="AB68" s="14"/>
      <c r="AC68" s="14"/>
      <c r="AD68" s="14"/>
      <c r="AE68" s="14"/>
    </row>
    <row r="69" spans="1:31" ht="10.5" customHeight="1" x14ac:dyDescent="0.15">
      <c r="A69" s="122" t="s">
        <v>758</v>
      </c>
      <c r="B69" s="123">
        <f>COUNTIFS(veri!G:G,90,veri!H:H,11)</f>
        <v>0</v>
      </c>
      <c r="C69" s="123">
        <f>COUNTIFS(veri!G:G,90,veri!H:H,12)</f>
        <v>0</v>
      </c>
      <c r="D69" s="123">
        <f>COUNTIFS(veri!G:G,90,veri!H:H,13)</f>
        <v>0</v>
      </c>
      <c r="E69" s="123">
        <f>COUNTIFS(veri!G:G,90,veri!H:H,14)</f>
        <v>0</v>
      </c>
      <c r="F69" s="123">
        <f>COUNTIFS(veri!G:G,90,veri!H:H,15)</f>
        <v>0</v>
      </c>
      <c r="G69" s="123">
        <f>COUNTIFS(veri!G:G,90,veri!H:H,16)</f>
        <v>0</v>
      </c>
      <c r="H69" s="123">
        <f>COUNTIFS(veri!G:G,90,veri!H:H,17)</f>
        <v>0</v>
      </c>
      <c r="I69" s="123">
        <f>COUNTIFS(veri!G:G,90,veri!H:H,18)</f>
        <v>0</v>
      </c>
      <c r="J69" s="123">
        <f>COUNTIFS(veri!G:G,90,veri!H:H,19)</f>
        <v>0</v>
      </c>
      <c r="K69" s="123">
        <f>COUNTIFS(veri!G:G,90,veri!H:H,20)</f>
        <v>0</v>
      </c>
      <c r="L69" s="123">
        <f>COUNTIFS(veri!G:G,90,veri!H:H,21)</f>
        <v>0</v>
      </c>
      <c r="M69" s="123">
        <f>COUNTIFS(veri!G:G,90,veri!H:H,22)</f>
        <v>0</v>
      </c>
      <c r="N69" s="123">
        <f>COUNTIFS(veri!G:G,90,veri!H:H,31)</f>
        <v>0</v>
      </c>
      <c r="O69" s="123">
        <f>COUNTIFS(veri!G:G,90,veri!H:H,32)</f>
        <v>0</v>
      </c>
      <c r="P69" s="123">
        <f>COUNTIFS(veri!G:G,90,veri!H:H,33)</f>
        <v>0</v>
      </c>
      <c r="Q69" s="123">
        <f>COUNTIFS(veri!G:G,90,veri!H:H,34)</f>
        <v>0</v>
      </c>
      <c r="R69" s="123">
        <f>COUNTIFS(veri!G:G,90,veri!H:H,35)</f>
        <v>0</v>
      </c>
      <c r="S69" s="123">
        <f>COUNTIFS(veri!G:G,90,veri!H:H,36)</f>
        <v>0</v>
      </c>
      <c r="T69" s="123">
        <f>COUNTIFS(veri!G:G,90,veri!H:H,37)</f>
        <v>0</v>
      </c>
      <c r="U69" s="123">
        <f>COUNTIFS(veri!G:G,90,veri!H:H,38)</f>
        <v>0</v>
      </c>
      <c r="V69" s="123">
        <f>COUNTIFS(veri!G:G,90,veri!H:H,39)</f>
        <v>0</v>
      </c>
      <c r="W69" s="123">
        <f>COUNTIFS(veri!G:G,90,veri!H:H,40)</f>
        <v>0</v>
      </c>
      <c r="X69" s="123">
        <f>COUNTIFS(veri!G:G,90,veri!H:H,41)</f>
        <v>0</v>
      </c>
      <c r="Y69" s="123">
        <f>COUNTIFS(veri!G:G,90,veri!H:H,42)</f>
        <v>0</v>
      </c>
      <c r="Z69" s="121">
        <f t="shared" si="2"/>
        <v>0</v>
      </c>
      <c r="AA69" s="14"/>
      <c r="AB69" s="14"/>
      <c r="AC69" s="14"/>
      <c r="AD69" s="14"/>
      <c r="AE69" s="14"/>
    </row>
    <row r="70" spans="1:31" ht="10.5" customHeight="1" x14ac:dyDescent="0.15">
      <c r="A70" s="120" t="s">
        <v>759</v>
      </c>
      <c r="B70" s="116">
        <f>COUNTIFS(veri!G:G,91,veri!H:H,11)</f>
        <v>0</v>
      </c>
      <c r="C70" s="116">
        <f>COUNTIFS(veri!G:G,91,veri!H:H,12)</f>
        <v>0</v>
      </c>
      <c r="D70" s="116">
        <f>COUNTIFS(veri!G:G,91,veri!H:H,13)</f>
        <v>0</v>
      </c>
      <c r="E70" s="116">
        <f>COUNTIFS(veri!G:G,91,veri!H:H,14)</f>
        <v>0</v>
      </c>
      <c r="F70" s="116">
        <f>COUNTIFS(veri!G:G,91,veri!H:H,15)</f>
        <v>0</v>
      </c>
      <c r="G70" s="116">
        <f>COUNTIFS(veri!G:G,91,veri!H:H,16)</f>
        <v>0</v>
      </c>
      <c r="H70" s="116">
        <f>COUNTIFS(veri!G:G,91,veri!H:H,17)</f>
        <v>0</v>
      </c>
      <c r="I70" s="116">
        <f>COUNTIFS(veri!G:G,91,veri!H:H,18)</f>
        <v>0</v>
      </c>
      <c r="J70" s="116">
        <f>COUNTIFS(veri!G:G,91,veri!H:H,19)</f>
        <v>0</v>
      </c>
      <c r="K70" s="116">
        <f>COUNTIFS(veri!G:G,91,veri!H:H,20)</f>
        <v>0</v>
      </c>
      <c r="L70" s="116">
        <f>COUNTIFS(veri!G:G,91,veri!H:H,21)</f>
        <v>0</v>
      </c>
      <c r="M70" s="116">
        <f>COUNTIFS(veri!G:G,91,veri!H:H,22)</f>
        <v>0</v>
      </c>
      <c r="N70" s="116">
        <f>COUNTIFS(veri!G:G,91,veri!H:H,31)</f>
        <v>0</v>
      </c>
      <c r="O70" s="116">
        <f>COUNTIFS(veri!G:G,91,veri!H:H,32)</f>
        <v>0</v>
      </c>
      <c r="P70" s="116">
        <f>COUNTIFS(veri!G:G,91,veri!H:H,33)</f>
        <v>0</v>
      </c>
      <c r="Q70" s="116">
        <f>COUNTIFS(veri!G:G,91,veri!H:H,34)</f>
        <v>0</v>
      </c>
      <c r="R70" s="116">
        <f>COUNTIFS(veri!G:G,91,veri!H:H,35)</f>
        <v>0</v>
      </c>
      <c r="S70" s="116">
        <f>COUNTIFS(veri!G:G,91,veri!H:H,36)</f>
        <v>0</v>
      </c>
      <c r="T70" s="116">
        <f>COUNTIFS(veri!G:G,91,veri!H:H,37)</f>
        <v>0</v>
      </c>
      <c r="U70" s="116">
        <f>COUNTIFS(veri!G:G,91,veri!H:H,38)</f>
        <v>0</v>
      </c>
      <c r="V70" s="116">
        <f>COUNTIFS(veri!G:G,91,veri!H:H,39)</f>
        <v>0</v>
      </c>
      <c r="W70" s="116">
        <f>COUNTIFS(veri!G:G,91,veri!H:H,40)</f>
        <v>0</v>
      </c>
      <c r="X70" s="116">
        <f>COUNTIFS(veri!G:G,91,veri!H:H,41)</f>
        <v>0</v>
      </c>
      <c r="Y70" s="116">
        <f>COUNTIFS(veri!G:G,91,veri!H:H,42)</f>
        <v>0</v>
      </c>
      <c r="Z70" s="121">
        <f t="shared" si="2"/>
        <v>0</v>
      </c>
      <c r="AA70" s="14"/>
      <c r="AB70" s="14"/>
      <c r="AC70" s="14"/>
      <c r="AD70" s="14"/>
      <c r="AE70" s="14"/>
    </row>
    <row r="71" spans="1:31" ht="12.75" customHeight="1" x14ac:dyDescent="0.15">
      <c r="A71" s="122" t="s">
        <v>760</v>
      </c>
      <c r="B71" s="123">
        <f>COUNTIFS(veri!G:G,92,veri!H:H,11)</f>
        <v>0</v>
      </c>
      <c r="C71" s="123">
        <f>COUNTIFS(veri!G:G,92,veri!H:H,12)</f>
        <v>0</v>
      </c>
      <c r="D71" s="123">
        <f>COUNTIFS(veri!G:G,92,veri!H:H,13)</f>
        <v>0</v>
      </c>
      <c r="E71" s="123">
        <f>COUNTIFS(veri!G:G,92,veri!H:H,14)</f>
        <v>0</v>
      </c>
      <c r="F71" s="123">
        <f>COUNTIFS(veri!G:G,92,veri!H:H,15)</f>
        <v>0</v>
      </c>
      <c r="G71" s="123">
        <f>COUNTIFS(veri!G:G,92,veri!H:H,16)</f>
        <v>0</v>
      </c>
      <c r="H71" s="123">
        <f>COUNTIFS(veri!G:G,92,veri!H:H,17)</f>
        <v>0</v>
      </c>
      <c r="I71" s="123">
        <f>COUNTIFS(veri!G:G,92,veri!H:H,18)</f>
        <v>0</v>
      </c>
      <c r="J71" s="123">
        <f>COUNTIFS(veri!G:G,92,veri!H:H,19)</f>
        <v>0</v>
      </c>
      <c r="K71" s="123">
        <f>COUNTIFS(veri!G:G,92,veri!H:H,20)</f>
        <v>0</v>
      </c>
      <c r="L71" s="123">
        <f>COUNTIFS(veri!G:G,92,veri!H:H,21)</f>
        <v>0</v>
      </c>
      <c r="M71" s="123">
        <f>COUNTIFS(veri!G:G,92,veri!H:H,22)</f>
        <v>0</v>
      </c>
      <c r="N71" s="123">
        <f>COUNTIFS(veri!G:G,92,veri!H:H,31)</f>
        <v>0</v>
      </c>
      <c r="O71" s="123">
        <f>COUNTIFS(veri!G:G,92,veri!H:H,32)</f>
        <v>0</v>
      </c>
      <c r="P71" s="123">
        <f>COUNTIFS(veri!G:G,92,veri!H:H,33)</f>
        <v>0</v>
      </c>
      <c r="Q71" s="123">
        <f>COUNTIFS(veri!G:G,92,veri!H:H,34)</f>
        <v>0</v>
      </c>
      <c r="R71" s="123">
        <f>COUNTIFS(veri!G:G,92,veri!H:H,35)</f>
        <v>0</v>
      </c>
      <c r="S71" s="123">
        <f>COUNTIFS(veri!G:G,92,veri!H:H,36)</f>
        <v>0</v>
      </c>
      <c r="T71" s="123">
        <f>COUNTIFS(veri!G:G,92,veri!H:H,37)</f>
        <v>0</v>
      </c>
      <c r="U71" s="123">
        <f>COUNTIFS(veri!G:G,92,veri!H:H,38)</f>
        <v>0</v>
      </c>
      <c r="V71" s="123">
        <f>COUNTIFS(veri!G:G,92,veri!H:H,39)</f>
        <v>0</v>
      </c>
      <c r="W71" s="123">
        <f>COUNTIFS(veri!G:G,92,veri!H:H,40)</f>
        <v>0</v>
      </c>
      <c r="X71" s="123">
        <f>COUNTIFS(veri!G:G,92,veri!H:H,41)</f>
        <v>0</v>
      </c>
      <c r="Y71" s="123">
        <f>COUNTIFS(veri!G:G,92,veri!H:H,42)</f>
        <v>0</v>
      </c>
      <c r="Z71" s="121">
        <f t="shared" si="2"/>
        <v>0</v>
      </c>
      <c r="AA71" s="14"/>
      <c r="AB71" s="14"/>
      <c r="AC71" s="14"/>
      <c r="AD71" s="14"/>
      <c r="AE71" s="14"/>
    </row>
    <row r="72" spans="1:31" ht="12.75" customHeight="1" x14ac:dyDescent="0.15">
      <c r="A72" s="120" t="s">
        <v>761</v>
      </c>
      <c r="B72" s="116">
        <f>COUNTIFS(veri!G:G,93,veri!H:H,11)</f>
        <v>0</v>
      </c>
      <c r="C72" s="116">
        <f>COUNTIFS(veri!G:G,93,veri!H:H,12)</f>
        <v>0</v>
      </c>
      <c r="D72" s="116">
        <f>COUNTIFS(veri!G:G,93,veri!H:H,13)</f>
        <v>0</v>
      </c>
      <c r="E72" s="116">
        <f>COUNTIFS(veri!G:G,93,veri!H:H,14)</f>
        <v>0</v>
      </c>
      <c r="F72" s="116">
        <f>COUNTIFS(veri!G:G,93,veri!H:H,15)</f>
        <v>0</v>
      </c>
      <c r="G72" s="116">
        <f>COUNTIFS(veri!G:G,93,veri!H:H,16)</f>
        <v>0</v>
      </c>
      <c r="H72" s="116">
        <f>COUNTIFS(veri!G:G,93,veri!H:H,17)</f>
        <v>0</v>
      </c>
      <c r="I72" s="116">
        <f>COUNTIFS(veri!G:G,93,veri!H:H,18)</f>
        <v>0</v>
      </c>
      <c r="J72" s="116">
        <f>COUNTIFS(veri!G:G,93,veri!H:H,19)</f>
        <v>0</v>
      </c>
      <c r="K72" s="116">
        <f>COUNTIFS(veri!G:G,93,veri!H:H,20)</f>
        <v>0</v>
      </c>
      <c r="L72" s="116">
        <f>COUNTIFS(veri!G:G,93,veri!H:H,21)</f>
        <v>0</v>
      </c>
      <c r="M72" s="116">
        <f>COUNTIFS(veri!G:G,93,veri!H:H,22)</f>
        <v>0</v>
      </c>
      <c r="N72" s="116">
        <f>COUNTIFS(veri!G:G,93,veri!H:H,31)</f>
        <v>0</v>
      </c>
      <c r="O72" s="116">
        <f>COUNTIFS(veri!G:G,93,veri!H:H,32)</f>
        <v>0</v>
      </c>
      <c r="P72" s="116">
        <f>COUNTIFS(veri!G:G,93,veri!H:H,33)</f>
        <v>0</v>
      </c>
      <c r="Q72" s="116">
        <f>COUNTIFS(veri!G:G,93,veri!H:H,34)</f>
        <v>0</v>
      </c>
      <c r="R72" s="116">
        <f>COUNTIFS(veri!G:G,93,veri!H:H,35)</f>
        <v>0</v>
      </c>
      <c r="S72" s="116">
        <f>COUNTIFS(veri!G:G,93,veri!H:H,36)</f>
        <v>0</v>
      </c>
      <c r="T72" s="116">
        <f>COUNTIFS(veri!G:G,93,veri!H:H,37)</f>
        <v>0</v>
      </c>
      <c r="U72" s="116">
        <f>COUNTIFS(veri!G:G,93,veri!H:H,38)</f>
        <v>0</v>
      </c>
      <c r="V72" s="116">
        <f>COUNTIFS(veri!G:G,93,veri!H:H,39)</f>
        <v>0</v>
      </c>
      <c r="W72" s="116">
        <f>COUNTIFS(veri!G:G,93,veri!H:H,40)</f>
        <v>0</v>
      </c>
      <c r="X72" s="116">
        <f>COUNTIFS(veri!G:G,93,veri!H:H,41)</f>
        <v>0</v>
      </c>
      <c r="Y72" s="116">
        <f>COUNTIFS(veri!G:G,93,veri!H:H,42)</f>
        <v>0</v>
      </c>
      <c r="Z72" s="121">
        <f t="shared" si="2"/>
        <v>0</v>
      </c>
      <c r="AA72" s="14"/>
      <c r="AB72" s="14"/>
      <c r="AC72" s="14"/>
      <c r="AD72" s="14"/>
      <c r="AE72" s="14"/>
    </row>
    <row r="73" spans="1:31" ht="12.75" customHeight="1" x14ac:dyDescent="0.15">
      <c r="A73" s="122" t="s">
        <v>762</v>
      </c>
      <c r="B73" s="123">
        <f>COUNTIFS(veri!G:G,94,veri!H:H,11)</f>
        <v>0</v>
      </c>
      <c r="C73" s="123">
        <f>COUNTIFS(veri!G:G,94,veri!H:H,12)</f>
        <v>0</v>
      </c>
      <c r="D73" s="123">
        <f>COUNTIFS(veri!G:G,94,veri!H:H,13)</f>
        <v>0</v>
      </c>
      <c r="E73" s="123">
        <f>COUNTIFS(veri!G:G,94,veri!H:H,14)</f>
        <v>0</v>
      </c>
      <c r="F73" s="123">
        <f>COUNTIFS(veri!G:G,94,veri!H:H,15)</f>
        <v>0</v>
      </c>
      <c r="G73" s="123">
        <f>COUNTIFS(veri!G:G,94,veri!H:H,16)</f>
        <v>0</v>
      </c>
      <c r="H73" s="123">
        <f>COUNTIFS(veri!G:G,94,veri!H:H,17)</f>
        <v>0</v>
      </c>
      <c r="I73" s="123">
        <f>COUNTIFS(veri!G:G,94,veri!H:H,18)</f>
        <v>0</v>
      </c>
      <c r="J73" s="123">
        <f>COUNTIFS(veri!G:G,94,veri!H:H,19)</f>
        <v>0</v>
      </c>
      <c r="K73" s="123">
        <f>COUNTIFS(veri!G:G,94,veri!H:H,20)</f>
        <v>0</v>
      </c>
      <c r="L73" s="123">
        <f>COUNTIFS(veri!G:G,94,veri!H:H,21)</f>
        <v>0</v>
      </c>
      <c r="M73" s="123">
        <f>COUNTIFS(veri!G:G,94,veri!H:H,22)</f>
        <v>0</v>
      </c>
      <c r="N73" s="123">
        <f>COUNTIFS(veri!G:G,94,veri!H:H,31)</f>
        <v>0</v>
      </c>
      <c r="O73" s="123">
        <f>COUNTIFS(veri!G:G,94,veri!H:H,32)</f>
        <v>0</v>
      </c>
      <c r="P73" s="123">
        <f>COUNTIFS(veri!G:G,94,veri!H:H,33)</f>
        <v>0</v>
      </c>
      <c r="Q73" s="123">
        <f>COUNTIFS(veri!G:G,94,veri!H:H,34)</f>
        <v>0</v>
      </c>
      <c r="R73" s="123">
        <f>COUNTIFS(veri!G:G,94,veri!H:H,35)</f>
        <v>0</v>
      </c>
      <c r="S73" s="123">
        <f>COUNTIFS(veri!G:G,94,veri!H:H,36)</f>
        <v>0</v>
      </c>
      <c r="T73" s="123">
        <f>COUNTIFS(veri!G:G,94,veri!H:H,37)</f>
        <v>0</v>
      </c>
      <c r="U73" s="123">
        <f>COUNTIFS(veri!G:G,94,veri!H:H,38)</f>
        <v>0</v>
      </c>
      <c r="V73" s="123">
        <f>COUNTIFS(veri!G:G,94,veri!H:H,39)</f>
        <v>0</v>
      </c>
      <c r="W73" s="123">
        <f>COUNTIFS(veri!G:G,94,veri!H:H,40)</f>
        <v>0</v>
      </c>
      <c r="X73" s="123">
        <f>COUNTIFS(veri!G:G,94,veri!H:H,41)</f>
        <v>0</v>
      </c>
      <c r="Y73" s="123">
        <f>COUNTIFS(veri!G:G,94,veri!H:H,42)</f>
        <v>0</v>
      </c>
      <c r="Z73" s="121">
        <f t="shared" si="2"/>
        <v>0</v>
      </c>
      <c r="AA73" s="14"/>
      <c r="AB73" s="14"/>
      <c r="AC73" s="14"/>
      <c r="AD73" s="14"/>
      <c r="AE73" s="14"/>
    </row>
    <row r="74" spans="1:31" ht="12.75" customHeight="1" x14ac:dyDescent="0.15">
      <c r="A74" s="120" t="s">
        <v>763</v>
      </c>
      <c r="B74" s="116">
        <f>COUNTIFS(veri!G:G,95,veri!H:H,11)</f>
        <v>0</v>
      </c>
      <c r="C74" s="116">
        <f>COUNTIFS(veri!G:G,95,veri!H:H,12)</f>
        <v>0</v>
      </c>
      <c r="D74" s="116">
        <f>COUNTIFS(veri!G:G,95,veri!H:H,13)</f>
        <v>0</v>
      </c>
      <c r="E74" s="116">
        <f>COUNTIFS(veri!G:G,95,veri!H:H,14)</f>
        <v>0</v>
      </c>
      <c r="F74" s="116">
        <f>COUNTIFS(veri!G:G,95,veri!H:H,15)</f>
        <v>0</v>
      </c>
      <c r="G74" s="116">
        <f>COUNTIFS(veri!G:G,95,veri!H:H,16)</f>
        <v>0</v>
      </c>
      <c r="H74" s="116">
        <f>COUNTIFS(veri!G:G,95,veri!H:H,17)</f>
        <v>0</v>
      </c>
      <c r="I74" s="116">
        <f>COUNTIFS(veri!G:G,95,veri!H:H,18)</f>
        <v>0</v>
      </c>
      <c r="J74" s="116">
        <f>COUNTIFS(veri!G:G,95,veri!H:H,19)</f>
        <v>0</v>
      </c>
      <c r="K74" s="116">
        <f>COUNTIFS(veri!G:G,95,veri!H:H,20)</f>
        <v>0</v>
      </c>
      <c r="L74" s="116">
        <f>COUNTIFS(veri!G:G,95,veri!H:H,21)</f>
        <v>0</v>
      </c>
      <c r="M74" s="116">
        <f>COUNTIFS(veri!G:G,95,veri!H:H,22)</f>
        <v>0</v>
      </c>
      <c r="N74" s="116">
        <f>COUNTIFS(veri!G:G,95,veri!H:H,31)</f>
        <v>0</v>
      </c>
      <c r="O74" s="116">
        <f>COUNTIFS(veri!G:G,95,veri!H:H,32)</f>
        <v>0</v>
      </c>
      <c r="P74" s="116">
        <f>COUNTIFS(veri!G:G,95,veri!H:H,33)</f>
        <v>0</v>
      </c>
      <c r="Q74" s="116">
        <f>COUNTIFS(veri!G:G,95,veri!H:H,34)</f>
        <v>0</v>
      </c>
      <c r="R74" s="116">
        <f>COUNTIFS(veri!G:G,95,veri!H:H,35)</f>
        <v>0</v>
      </c>
      <c r="S74" s="116">
        <f>COUNTIFS(veri!G:G,95,veri!H:H,36)</f>
        <v>0</v>
      </c>
      <c r="T74" s="116">
        <f>COUNTIFS(veri!G:G,95,veri!H:H,37)</f>
        <v>0</v>
      </c>
      <c r="U74" s="116">
        <f>COUNTIFS(veri!G:G,95,veri!H:H,38)</f>
        <v>0</v>
      </c>
      <c r="V74" s="116">
        <f>COUNTIFS(veri!G:G,95,veri!H:H,39)</f>
        <v>0</v>
      </c>
      <c r="W74" s="116">
        <f>COUNTIFS(veri!G:G,95,veri!H:H,40)</f>
        <v>0</v>
      </c>
      <c r="X74" s="116">
        <f>COUNTIFS(veri!G:G,95,veri!H:H,41)</f>
        <v>0</v>
      </c>
      <c r="Y74" s="116">
        <f>COUNTIFS(veri!G:G,95,veri!H:H,42)</f>
        <v>0</v>
      </c>
      <c r="Z74" s="121">
        <f t="shared" si="2"/>
        <v>0</v>
      </c>
      <c r="AA74" s="14"/>
      <c r="AB74" s="14"/>
      <c r="AC74" s="14"/>
      <c r="AD74" s="14"/>
      <c r="AE74" s="14"/>
    </row>
    <row r="75" spans="1:31" ht="12.75" customHeight="1" x14ac:dyDescent="0.15">
      <c r="A75" s="122" t="s">
        <v>764</v>
      </c>
      <c r="B75" s="123">
        <f>COUNTIFS(veri!G:G,96,veri!H:H,11)</f>
        <v>0</v>
      </c>
      <c r="C75" s="123">
        <f>COUNTIFS(veri!G:G,96,veri!H:H,12)</f>
        <v>0</v>
      </c>
      <c r="D75" s="123">
        <f>COUNTIFS(veri!G:G,96,veri!H:H,13)</f>
        <v>0</v>
      </c>
      <c r="E75" s="123">
        <f>COUNTIFS(veri!G:G,96,veri!H:H,14)</f>
        <v>0</v>
      </c>
      <c r="F75" s="123">
        <f>COUNTIFS(veri!G:G,96,veri!H:H,15)</f>
        <v>0</v>
      </c>
      <c r="G75" s="123">
        <f>COUNTIFS(veri!G:G,96,veri!H:H,16)</f>
        <v>0</v>
      </c>
      <c r="H75" s="123">
        <f>COUNTIFS(veri!G:G,96,veri!H:H,17)</f>
        <v>0</v>
      </c>
      <c r="I75" s="123">
        <f>COUNTIFS(veri!G:G,96,veri!H:H,18)</f>
        <v>0</v>
      </c>
      <c r="J75" s="123">
        <f>COUNTIFS(veri!G:G,96,veri!H:H,19)</f>
        <v>0</v>
      </c>
      <c r="K75" s="123">
        <f>COUNTIFS(veri!G:G,96,veri!H:H,20)</f>
        <v>0</v>
      </c>
      <c r="L75" s="123">
        <f>COUNTIFS(veri!G:G,96,veri!H:H,21)</f>
        <v>0</v>
      </c>
      <c r="M75" s="123">
        <f>COUNTIFS(veri!G:G,96,veri!H:H,22)</f>
        <v>0</v>
      </c>
      <c r="N75" s="123">
        <f>COUNTIFS(veri!G:G,96,veri!H:H,31)</f>
        <v>0</v>
      </c>
      <c r="O75" s="123">
        <f>COUNTIFS(veri!G:G,96,veri!H:H,32)</f>
        <v>0</v>
      </c>
      <c r="P75" s="123">
        <f>COUNTIFS(veri!G:G,96,veri!H:H,33)</f>
        <v>0</v>
      </c>
      <c r="Q75" s="123">
        <f>COUNTIFS(veri!G:G,96,veri!H:H,34)</f>
        <v>0</v>
      </c>
      <c r="R75" s="123">
        <f>COUNTIFS(veri!G:G,96,veri!H:H,35)</f>
        <v>1</v>
      </c>
      <c r="S75" s="123">
        <f>COUNTIFS(veri!G:G,96,veri!H:H,36)</f>
        <v>0</v>
      </c>
      <c r="T75" s="123">
        <f>COUNTIFS(veri!G:G,96,veri!H:H,37)</f>
        <v>0</v>
      </c>
      <c r="U75" s="123">
        <f>COUNTIFS(veri!G:G,96,veri!H:H,38)</f>
        <v>0</v>
      </c>
      <c r="V75" s="123">
        <f>COUNTIFS(veri!G:G,96,veri!H:H,39)</f>
        <v>0</v>
      </c>
      <c r="W75" s="123">
        <f>COUNTIFS(veri!G:G,96,veri!H:H,40)</f>
        <v>0</v>
      </c>
      <c r="X75" s="123">
        <f>COUNTIFS(veri!G:G,96,veri!H:H,41)</f>
        <v>0</v>
      </c>
      <c r="Y75" s="123">
        <f>COUNTIFS(veri!G:G,96,veri!H:H,42)</f>
        <v>0</v>
      </c>
      <c r="Z75" s="121">
        <f t="shared" si="2"/>
        <v>1</v>
      </c>
      <c r="AA75" s="14"/>
      <c r="AB75" s="14"/>
      <c r="AC75" s="14"/>
      <c r="AD75" s="14"/>
      <c r="AE75" s="14"/>
    </row>
    <row r="76" spans="1:31" ht="12.75" customHeight="1" x14ac:dyDescent="0.15">
      <c r="A76" s="120" t="s">
        <v>765</v>
      </c>
      <c r="B76" s="116">
        <f>COUNTIFS(veri!G:G,97,veri!H:H,11)</f>
        <v>0</v>
      </c>
      <c r="C76" s="116">
        <f>COUNTIFS(veri!G:G,97,veri!H:H,12)</f>
        <v>0</v>
      </c>
      <c r="D76" s="116">
        <f>COUNTIFS(veri!G:G,97,veri!H:H,13)</f>
        <v>0</v>
      </c>
      <c r="E76" s="116">
        <f>COUNTIFS(veri!G:G,97,veri!H:H,14)</f>
        <v>0</v>
      </c>
      <c r="F76" s="116">
        <f>COUNTIFS(veri!G:G,97,veri!H:H,15)</f>
        <v>0</v>
      </c>
      <c r="G76" s="116">
        <f>COUNTIFS(veri!G:G,97,veri!H:H,16)</f>
        <v>0</v>
      </c>
      <c r="H76" s="116">
        <f>COUNTIFS(veri!G:G,97,veri!H:H,17)</f>
        <v>0</v>
      </c>
      <c r="I76" s="116">
        <f>COUNTIFS(veri!G:G,97,veri!H:H,18)</f>
        <v>0</v>
      </c>
      <c r="J76" s="116">
        <f>COUNTIFS(veri!G:G,97,veri!H:H,19)</f>
        <v>0</v>
      </c>
      <c r="K76" s="116">
        <f>COUNTIFS(veri!G:G,97,veri!H:H,20)</f>
        <v>0</v>
      </c>
      <c r="L76" s="116">
        <f>COUNTIFS(veri!G:G,97,veri!H:H,21)</f>
        <v>0</v>
      </c>
      <c r="M76" s="116">
        <f>COUNTIFS(veri!G:G,97,veri!H:H,22)</f>
        <v>0</v>
      </c>
      <c r="N76" s="116">
        <f>COUNTIFS(veri!G:G,97,veri!H:H,31)</f>
        <v>0</v>
      </c>
      <c r="O76" s="116">
        <f>COUNTIFS(veri!G:G,97,veri!H:H,32)</f>
        <v>0</v>
      </c>
      <c r="P76" s="116">
        <f>COUNTIFS(veri!G:G,97,veri!H:H,33)</f>
        <v>0</v>
      </c>
      <c r="Q76" s="116">
        <f>COUNTIFS(veri!G:G,97,veri!H:H,34)</f>
        <v>0</v>
      </c>
      <c r="R76" s="116">
        <f>COUNTIFS(veri!G:G,97,veri!H:H,35)</f>
        <v>0</v>
      </c>
      <c r="S76" s="116">
        <f>COUNTIFS(veri!G:G,97,veri!H:H,36)</f>
        <v>0</v>
      </c>
      <c r="T76" s="116">
        <f>COUNTIFS(veri!G:G,97,veri!H:H,37)</f>
        <v>0</v>
      </c>
      <c r="U76" s="116">
        <f>COUNTIFS(veri!G:G,97,veri!H:H,38)</f>
        <v>0</v>
      </c>
      <c r="V76" s="116">
        <f>COUNTIFS(veri!G:G,97,veri!H:H,39)</f>
        <v>0</v>
      </c>
      <c r="W76" s="116">
        <f>COUNTIFS(veri!G:G,97,veri!H:H,40)</f>
        <v>0</v>
      </c>
      <c r="X76" s="116">
        <f>COUNTIFS(veri!G:G,97,veri!H:H,41)</f>
        <v>0</v>
      </c>
      <c r="Y76" s="116">
        <f>COUNTIFS(veri!G:G,97,veri!H:H,42)</f>
        <v>0</v>
      </c>
      <c r="Z76" s="121">
        <f t="shared" si="2"/>
        <v>0</v>
      </c>
      <c r="AA76" s="14"/>
      <c r="AB76" s="14"/>
      <c r="AC76" s="14"/>
      <c r="AD76" s="14"/>
      <c r="AE76" s="14"/>
    </row>
    <row r="77" spans="1:31" ht="12.75" customHeight="1" x14ac:dyDescent="0.15">
      <c r="A77" s="122" t="s">
        <v>766</v>
      </c>
      <c r="B77" s="123">
        <f>COUNTIFS(veri!G:G,98,veri!H:H,11)</f>
        <v>0</v>
      </c>
      <c r="C77" s="123">
        <f>COUNTIFS(veri!G:G,98,veri!H:H,12)</f>
        <v>0</v>
      </c>
      <c r="D77" s="123">
        <f>COUNTIFS(veri!G:G,98,veri!H:H,13)</f>
        <v>0</v>
      </c>
      <c r="E77" s="123">
        <f>COUNTIFS(veri!G:G,98,veri!H:H,14)</f>
        <v>0</v>
      </c>
      <c r="F77" s="123">
        <f>COUNTIFS(veri!G:G,98,veri!H:H,15)</f>
        <v>0</v>
      </c>
      <c r="G77" s="123">
        <f>COUNTIFS(veri!G:G,98,veri!H:H,16)</f>
        <v>0</v>
      </c>
      <c r="H77" s="123">
        <f>COUNTIFS(veri!G:G,98,veri!H:H,17)</f>
        <v>0</v>
      </c>
      <c r="I77" s="123">
        <f>COUNTIFS(veri!G:G,98,veri!H:H,18)</f>
        <v>0</v>
      </c>
      <c r="J77" s="123">
        <f>COUNTIFS(veri!G:G,98,veri!H:H,19)</f>
        <v>0</v>
      </c>
      <c r="K77" s="123">
        <f>COUNTIFS(veri!G:G,98,veri!H:H,20)</f>
        <v>0</v>
      </c>
      <c r="L77" s="123">
        <f>COUNTIFS(veri!G:G,98,veri!H:H,21)</f>
        <v>0</v>
      </c>
      <c r="M77" s="123">
        <f>COUNTIFS(veri!G:G,98,veri!H:H,22)</f>
        <v>0</v>
      </c>
      <c r="N77" s="123">
        <f>COUNTIFS(veri!G:G,98,veri!H:H,31)</f>
        <v>0</v>
      </c>
      <c r="O77" s="123">
        <f>COUNTIFS(veri!G:G,98,veri!H:H,32)</f>
        <v>0</v>
      </c>
      <c r="P77" s="123">
        <f>COUNTIFS(veri!G:G,98,veri!H:H,33)</f>
        <v>0</v>
      </c>
      <c r="Q77" s="123">
        <f>COUNTIFS(veri!G:G,98,veri!H:H,34)</f>
        <v>0</v>
      </c>
      <c r="R77" s="123">
        <f>COUNTIFS(veri!G:G,98,veri!H:H,35)</f>
        <v>0</v>
      </c>
      <c r="S77" s="123">
        <f>COUNTIFS(veri!G:G,98,veri!H:H,36)</f>
        <v>0</v>
      </c>
      <c r="T77" s="123">
        <f>COUNTIFS(veri!G:G,98,veri!H:H,37)</f>
        <v>0</v>
      </c>
      <c r="U77" s="123">
        <f>COUNTIFS(veri!G:G,98,veri!H:H,38)</f>
        <v>0</v>
      </c>
      <c r="V77" s="123">
        <f>COUNTIFS(veri!G:G,98,veri!H:H,39)</f>
        <v>0</v>
      </c>
      <c r="W77" s="123">
        <f>COUNTIFS(veri!G:G,98,veri!H:H,40)</f>
        <v>0</v>
      </c>
      <c r="X77" s="123">
        <f>COUNTIFS(veri!G:G,98,veri!H:H,41)</f>
        <v>0</v>
      </c>
      <c r="Y77" s="123">
        <f>COUNTIFS(veri!G:G,98,veri!H:H,42)</f>
        <v>0</v>
      </c>
      <c r="Z77" s="121">
        <f t="shared" si="2"/>
        <v>0</v>
      </c>
      <c r="AA77" s="14"/>
      <c r="AB77" s="14"/>
      <c r="AC77" s="14"/>
      <c r="AD77" s="14"/>
      <c r="AE77" s="14"/>
    </row>
    <row r="78" spans="1:31" ht="12.75" customHeight="1" x14ac:dyDescent="0.15">
      <c r="A78" s="120" t="s">
        <v>767</v>
      </c>
      <c r="B78" s="116">
        <f>COUNTIFS(veri!G:G,99,veri!H:H,11)</f>
        <v>0</v>
      </c>
      <c r="C78" s="116">
        <f>COUNTIFS(veri!G:G,99,veri!H:H,12)</f>
        <v>0</v>
      </c>
      <c r="D78" s="116">
        <f>COUNTIFS(veri!G:G,99,veri!H:H,13)</f>
        <v>0</v>
      </c>
      <c r="E78" s="116">
        <f>COUNTIFS(veri!G:G,99,veri!H:H,14)</f>
        <v>0</v>
      </c>
      <c r="F78" s="116">
        <f>COUNTIFS(veri!G:G,99,veri!H:H,15)</f>
        <v>0</v>
      </c>
      <c r="G78" s="116">
        <f>COUNTIFS(veri!G:G,99,veri!H:H,16)</f>
        <v>0</v>
      </c>
      <c r="H78" s="116">
        <f>COUNTIFS(veri!G:G,99,veri!H:H,17)</f>
        <v>0</v>
      </c>
      <c r="I78" s="116">
        <f>COUNTIFS(veri!G:G,99,veri!H:H,18)</f>
        <v>0</v>
      </c>
      <c r="J78" s="116">
        <f>COUNTIFS(veri!G:G,99,veri!H:H,19)</f>
        <v>0</v>
      </c>
      <c r="K78" s="116">
        <f>COUNTIFS(veri!G:G,99,veri!H:H,20)</f>
        <v>0</v>
      </c>
      <c r="L78" s="116">
        <f>COUNTIFS(veri!G:G,99,veri!H:H,21)</f>
        <v>0</v>
      </c>
      <c r="M78" s="116">
        <f>COUNTIFS(veri!G:G,99,veri!H:H,22)</f>
        <v>0</v>
      </c>
      <c r="N78" s="116">
        <f>COUNTIFS(veri!G:G,99,veri!H:H,31)</f>
        <v>0</v>
      </c>
      <c r="O78" s="116">
        <f>COUNTIFS(veri!G:G,99,veri!H:H,32)</f>
        <v>0</v>
      </c>
      <c r="P78" s="116">
        <f>COUNTIFS(veri!G:G,99,veri!H:H,33)</f>
        <v>0</v>
      </c>
      <c r="Q78" s="116">
        <f>COUNTIFS(veri!G:G,99,veri!H:H,34)</f>
        <v>0</v>
      </c>
      <c r="R78" s="116">
        <f>COUNTIFS(veri!G:G,99,veri!H:H,35)</f>
        <v>0</v>
      </c>
      <c r="S78" s="116">
        <f>COUNTIFS(veri!G:G,99,veri!H:H,36)</f>
        <v>0</v>
      </c>
      <c r="T78" s="116">
        <f>COUNTIFS(veri!G:G,99,veri!H:H,37)</f>
        <v>0</v>
      </c>
      <c r="U78" s="116">
        <f>COUNTIFS(veri!G:G,99,veri!H:H,38)</f>
        <v>0</v>
      </c>
      <c r="V78" s="116">
        <f>COUNTIFS(veri!G:G,99,veri!H:H,39)</f>
        <v>0</v>
      </c>
      <c r="W78" s="116">
        <f>COUNTIFS(veri!G:G,99,veri!H:H,40)</f>
        <v>0</v>
      </c>
      <c r="X78" s="116">
        <f>COUNTIFS(veri!G:G,99,veri!H:H,41)</f>
        <v>0</v>
      </c>
      <c r="Y78" s="116">
        <f>COUNTIFS(veri!G:G,99,veri!H:H,42)</f>
        <v>0</v>
      </c>
      <c r="Z78" s="121">
        <f t="shared" si="2"/>
        <v>0</v>
      </c>
      <c r="AA78" s="14"/>
      <c r="AB78" s="14"/>
      <c r="AC78" s="14"/>
      <c r="AD78" s="14"/>
      <c r="AE78" s="14"/>
    </row>
    <row r="79" spans="1:31" ht="12.75" customHeight="1" x14ac:dyDescent="0.15">
      <c r="A79" s="122" t="s">
        <v>768</v>
      </c>
      <c r="B79" s="123">
        <f>COUNTIFS(veri!G:G,100,veri!H:H,11)</f>
        <v>0</v>
      </c>
      <c r="C79" s="123">
        <f>COUNTIFS(veri!G:G,100,veri!H:H,12)</f>
        <v>0</v>
      </c>
      <c r="D79" s="123">
        <f>COUNTIFS(veri!G:G,100,veri!H:H,13)</f>
        <v>0</v>
      </c>
      <c r="E79" s="123">
        <f>COUNTIFS(veri!G:G,100,veri!H:H,14)</f>
        <v>0</v>
      </c>
      <c r="F79" s="123">
        <f>COUNTIFS(veri!G:G,100,veri!H:H,15)</f>
        <v>0</v>
      </c>
      <c r="G79" s="123">
        <f>COUNTIFS(veri!G:G,100,veri!H:H,16)</f>
        <v>0</v>
      </c>
      <c r="H79" s="123">
        <f>COUNTIFS(veri!G:G,100,veri!H:H,17)</f>
        <v>0</v>
      </c>
      <c r="I79" s="123">
        <f>COUNTIFS(veri!G:G,100,veri!H:H,18)</f>
        <v>0</v>
      </c>
      <c r="J79" s="123">
        <f>COUNTIFS(veri!G:G,100,veri!H:H,19)</f>
        <v>0</v>
      </c>
      <c r="K79" s="123">
        <f>COUNTIFS(veri!G:G,100,veri!H:H,20)</f>
        <v>0</v>
      </c>
      <c r="L79" s="123">
        <f>COUNTIFS(veri!G:G,100,veri!H:H,21)</f>
        <v>0</v>
      </c>
      <c r="M79" s="123">
        <f>COUNTIFS(veri!G:G,100,veri!H:H,22)</f>
        <v>0</v>
      </c>
      <c r="N79" s="123">
        <f>COUNTIFS(veri!G:G,100,veri!H:H,31)</f>
        <v>0</v>
      </c>
      <c r="O79" s="123">
        <f>COUNTIFS(veri!G:G,100,veri!H:H,32)</f>
        <v>0</v>
      </c>
      <c r="P79" s="123">
        <f>COUNTIFS(veri!G:G,100,veri!H:H,33)</f>
        <v>0</v>
      </c>
      <c r="Q79" s="123">
        <f>COUNTIFS(veri!G:G,100,veri!H:H,34)</f>
        <v>0</v>
      </c>
      <c r="R79" s="123">
        <f>COUNTIFS(veri!G:G,100,veri!H:H,35)</f>
        <v>0</v>
      </c>
      <c r="S79" s="123">
        <f>COUNTIFS(veri!G:G,100,veri!H:H,36)</f>
        <v>0</v>
      </c>
      <c r="T79" s="123">
        <f>COUNTIFS(veri!G:G,100,veri!H:H,37)</f>
        <v>0</v>
      </c>
      <c r="U79" s="123">
        <f>COUNTIFS(veri!G:G,100,veri!H:H,38)</f>
        <v>0</v>
      </c>
      <c r="V79" s="123">
        <f>COUNTIFS(veri!G:G,100,veri!H:H,39)</f>
        <v>0</v>
      </c>
      <c r="W79" s="123">
        <f>COUNTIFS(veri!G:G,100,veri!H:H,40)</f>
        <v>0</v>
      </c>
      <c r="X79" s="123">
        <f>COUNTIFS(veri!G:G,100,veri!H:H,41)</f>
        <v>0</v>
      </c>
      <c r="Y79" s="123">
        <f>COUNTIFS(veri!G:G,100,veri!H:H,42)</f>
        <v>0</v>
      </c>
      <c r="Z79" s="121">
        <f t="shared" si="2"/>
        <v>0</v>
      </c>
      <c r="AA79" s="14"/>
      <c r="AB79" s="14"/>
      <c r="AC79" s="14"/>
      <c r="AD79" s="14"/>
      <c r="AE79" s="14"/>
    </row>
    <row r="80" spans="1:31" ht="12.75" customHeight="1" x14ac:dyDescent="0.15">
      <c r="A80" s="120" t="s">
        <v>769</v>
      </c>
      <c r="B80" s="116">
        <f>COUNTIFS(veri!G:G,101,veri!H:H,11)</f>
        <v>0</v>
      </c>
      <c r="C80" s="116">
        <f>COUNTIFS(veri!G:G,101,veri!H:H,12)</f>
        <v>0</v>
      </c>
      <c r="D80" s="116">
        <f>COUNTIFS(veri!G:G,101,veri!H:H,13)</f>
        <v>0</v>
      </c>
      <c r="E80" s="116">
        <f>COUNTIFS(veri!G:G,101,veri!H:H,14)</f>
        <v>0</v>
      </c>
      <c r="F80" s="116">
        <f>COUNTIFS(veri!G:G,101,veri!H:H,15)</f>
        <v>0</v>
      </c>
      <c r="G80" s="116">
        <f>COUNTIFS(veri!G:G,101,veri!H:H,16)</f>
        <v>0</v>
      </c>
      <c r="H80" s="116">
        <f>COUNTIFS(veri!G:G,101,veri!H:H,17)</f>
        <v>0</v>
      </c>
      <c r="I80" s="116">
        <f>COUNTIFS(veri!G:G,101,veri!H:H,18)</f>
        <v>0</v>
      </c>
      <c r="J80" s="116">
        <f>COUNTIFS(veri!G:G,101,veri!H:H,19)</f>
        <v>0</v>
      </c>
      <c r="K80" s="116">
        <f>COUNTIFS(veri!G:G,101,veri!H:H,20)</f>
        <v>0</v>
      </c>
      <c r="L80" s="116">
        <f>COUNTIFS(veri!G:G,101,veri!H:H,21)</f>
        <v>0</v>
      </c>
      <c r="M80" s="116">
        <f>COUNTIFS(veri!G:G,101,veri!H:H,22)</f>
        <v>0</v>
      </c>
      <c r="N80" s="116">
        <f>COUNTIFS(veri!G:G,101,veri!H:H,31)</f>
        <v>0</v>
      </c>
      <c r="O80" s="116">
        <f>COUNTIFS(veri!G:G,101,veri!H:H,32)</f>
        <v>0</v>
      </c>
      <c r="P80" s="116">
        <f>COUNTIFS(veri!G:G,101,veri!H:H,33)</f>
        <v>0</v>
      </c>
      <c r="Q80" s="116">
        <f>COUNTIFS(veri!G:G,101,veri!H:H,34)</f>
        <v>0</v>
      </c>
      <c r="R80" s="116">
        <f>COUNTIFS(veri!G:G,101,veri!H:H,35)</f>
        <v>0</v>
      </c>
      <c r="S80" s="116">
        <f>COUNTIFS(veri!G:G,101,veri!H:H,36)</f>
        <v>0</v>
      </c>
      <c r="T80" s="116">
        <f>COUNTIFS(veri!G:G,101,veri!H:H,37)</f>
        <v>0</v>
      </c>
      <c r="U80" s="116">
        <f>COUNTIFS(veri!G:G,101,veri!H:H,38)</f>
        <v>0</v>
      </c>
      <c r="V80" s="116">
        <f>COUNTIFS(veri!G:G,101,veri!H:H,39)</f>
        <v>0</v>
      </c>
      <c r="W80" s="116">
        <f>COUNTIFS(veri!G:G,101,veri!H:H,40)</f>
        <v>0</v>
      </c>
      <c r="X80" s="116">
        <f>COUNTIFS(veri!G:G,101,veri!H:H,41)</f>
        <v>0</v>
      </c>
      <c r="Y80" s="116">
        <f>COUNTIFS(veri!G:G,101,veri!H:H,42)</f>
        <v>0</v>
      </c>
      <c r="Z80" s="121">
        <f t="shared" si="2"/>
        <v>0</v>
      </c>
      <c r="AA80" s="14"/>
      <c r="AB80" s="14"/>
      <c r="AC80" s="14"/>
      <c r="AD80" s="14"/>
      <c r="AE80" s="14"/>
    </row>
    <row r="81" spans="1:31" ht="12.75" customHeight="1" x14ac:dyDescent="0.15">
      <c r="A81" s="122" t="s">
        <v>770</v>
      </c>
      <c r="B81" s="123">
        <f>COUNTIFS(veri!G:G,102,veri!H:H,11)</f>
        <v>0</v>
      </c>
      <c r="C81" s="123">
        <f>COUNTIFS(veri!G:G,102,veri!H:H,12)</f>
        <v>0</v>
      </c>
      <c r="D81" s="123">
        <f>COUNTIFS(veri!G:G,102,veri!H:H,13)</f>
        <v>0</v>
      </c>
      <c r="E81" s="123">
        <f>COUNTIFS(veri!G:G,102,veri!H:H,14)</f>
        <v>0</v>
      </c>
      <c r="F81" s="123">
        <f>COUNTIFS(veri!G:G,102,veri!H:H,15)</f>
        <v>0</v>
      </c>
      <c r="G81" s="123">
        <f>COUNTIFS(veri!G:G,102,veri!H:H,16)</f>
        <v>0</v>
      </c>
      <c r="H81" s="123">
        <f>COUNTIFS(veri!G:G,102,veri!H:H,17)</f>
        <v>0</v>
      </c>
      <c r="I81" s="123">
        <f>COUNTIFS(veri!G:G,102,veri!H:H,18)</f>
        <v>0</v>
      </c>
      <c r="J81" s="123">
        <f>COUNTIFS(veri!G:G,102,veri!H:H,19)</f>
        <v>0</v>
      </c>
      <c r="K81" s="123">
        <f>COUNTIFS(veri!G:G,102,veri!H:H,20)</f>
        <v>0</v>
      </c>
      <c r="L81" s="123">
        <f>COUNTIFS(veri!G:G,102,veri!H:H,21)</f>
        <v>0</v>
      </c>
      <c r="M81" s="123">
        <f>COUNTIFS(veri!G:G,102,veri!H:H,22)</f>
        <v>0</v>
      </c>
      <c r="N81" s="123">
        <f>COUNTIFS(veri!G:G,102,veri!H:H,31)</f>
        <v>0</v>
      </c>
      <c r="O81" s="123">
        <f>COUNTIFS(veri!G:G,102,veri!H:H,32)</f>
        <v>0</v>
      </c>
      <c r="P81" s="123">
        <f>COUNTIFS(veri!G:G,102,veri!H:H,33)</f>
        <v>0</v>
      </c>
      <c r="Q81" s="123">
        <f>COUNTIFS(veri!G:G,102,veri!H:H,34)</f>
        <v>0</v>
      </c>
      <c r="R81" s="123">
        <f>COUNTIFS(veri!G:G,102,veri!H:H,35)</f>
        <v>0</v>
      </c>
      <c r="S81" s="123">
        <f>COUNTIFS(veri!G:G,102,veri!H:H,36)</f>
        <v>0</v>
      </c>
      <c r="T81" s="123">
        <f>COUNTIFS(veri!G:G,102,veri!H:H,37)</f>
        <v>0</v>
      </c>
      <c r="U81" s="123">
        <f>COUNTIFS(veri!G:G,102,veri!H:H,38)</f>
        <v>0</v>
      </c>
      <c r="V81" s="123">
        <f>COUNTIFS(veri!G:G,102,veri!H:H,39)</f>
        <v>0</v>
      </c>
      <c r="W81" s="123">
        <f>COUNTIFS(veri!G:G,102,veri!H:H,40)</f>
        <v>0</v>
      </c>
      <c r="X81" s="123">
        <f>COUNTIFS(veri!G:G,102,veri!H:H,41)</f>
        <v>0</v>
      </c>
      <c r="Y81" s="123">
        <f>COUNTIFS(veri!G:G,102,veri!H:H,42)</f>
        <v>0</v>
      </c>
      <c r="Z81" s="121">
        <f t="shared" si="2"/>
        <v>0</v>
      </c>
      <c r="AA81" s="14"/>
      <c r="AB81" s="14"/>
      <c r="AC81" s="14"/>
      <c r="AD81" s="14"/>
      <c r="AE81" s="14"/>
    </row>
    <row r="82" spans="1:31" ht="12.75" customHeight="1" x14ac:dyDescent="0.15">
      <c r="A82" s="120" t="s">
        <v>771</v>
      </c>
      <c r="B82" s="116">
        <f>COUNTIFS(veri!G:G,103,veri!H:H,11)</f>
        <v>0</v>
      </c>
      <c r="C82" s="116">
        <f>COUNTIFS(veri!G:G,103,veri!H:H,12)</f>
        <v>0</v>
      </c>
      <c r="D82" s="116">
        <f>COUNTIFS(veri!G:G,103,veri!H:H,13)</f>
        <v>0</v>
      </c>
      <c r="E82" s="116">
        <f>COUNTIFS(veri!G:G,103,veri!H:H,14)</f>
        <v>0</v>
      </c>
      <c r="F82" s="116">
        <f>COUNTIFS(veri!G:G,103,veri!H:H,15)</f>
        <v>0</v>
      </c>
      <c r="G82" s="116">
        <f>COUNTIFS(veri!G:G,103,veri!H:H,16)</f>
        <v>0</v>
      </c>
      <c r="H82" s="116">
        <f>COUNTIFS(veri!G:G,103,veri!H:H,17)</f>
        <v>0</v>
      </c>
      <c r="I82" s="116">
        <f>COUNTIFS(veri!G:G,103,veri!H:H,18)</f>
        <v>0</v>
      </c>
      <c r="J82" s="116">
        <f>COUNTIFS(veri!G:G,103,veri!H:H,19)</f>
        <v>0</v>
      </c>
      <c r="K82" s="116">
        <f>COUNTIFS(veri!G:G,103,veri!H:H,20)</f>
        <v>0</v>
      </c>
      <c r="L82" s="116">
        <f>COUNTIFS(veri!G:G,103,veri!H:H,21)</f>
        <v>0</v>
      </c>
      <c r="M82" s="116">
        <f>COUNTIFS(veri!G:G,103,veri!H:H,22)</f>
        <v>0</v>
      </c>
      <c r="N82" s="116">
        <f>COUNTIFS(veri!G:G,103,veri!H:H,31)</f>
        <v>0</v>
      </c>
      <c r="O82" s="116">
        <f>COUNTIFS(veri!G:G,103,veri!H:H,32)</f>
        <v>0</v>
      </c>
      <c r="P82" s="116">
        <f>COUNTIFS(veri!G:G,103,veri!H:H,33)</f>
        <v>0</v>
      </c>
      <c r="Q82" s="116">
        <f>COUNTIFS(veri!G:G,103,veri!H:H,34)</f>
        <v>0</v>
      </c>
      <c r="R82" s="116">
        <f>COUNTIFS(veri!G:G,103,veri!H:H,35)</f>
        <v>0</v>
      </c>
      <c r="S82" s="116">
        <f>COUNTIFS(veri!G:G,103,veri!H:H,36)</f>
        <v>0</v>
      </c>
      <c r="T82" s="116">
        <f>COUNTIFS(veri!G:G,103,veri!H:H,37)</f>
        <v>0</v>
      </c>
      <c r="U82" s="116">
        <f>COUNTIFS(veri!G:G,103,veri!H:H,38)</f>
        <v>0</v>
      </c>
      <c r="V82" s="116">
        <f>COUNTIFS(veri!G:G,103,veri!H:H,39)</f>
        <v>0</v>
      </c>
      <c r="W82" s="116">
        <f>COUNTIFS(veri!G:G,103,veri!H:H,40)</f>
        <v>0</v>
      </c>
      <c r="X82" s="116">
        <f>COUNTIFS(veri!G:G,103,veri!H:H,41)</f>
        <v>0</v>
      </c>
      <c r="Y82" s="116">
        <f>COUNTIFS(veri!G:G,103,veri!H:H,42)</f>
        <v>0</v>
      </c>
      <c r="Z82" s="121">
        <f t="shared" si="2"/>
        <v>0</v>
      </c>
      <c r="AA82" s="14"/>
      <c r="AB82" s="14"/>
      <c r="AC82" s="14"/>
      <c r="AD82" s="14"/>
      <c r="AE82" s="14"/>
    </row>
    <row r="83" spans="1:31" ht="12.75" customHeight="1" x14ac:dyDescent="0.15">
      <c r="A83" s="122" t="s">
        <v>772</v>
      </c>
      <c r="B83" s="123">
        <f>COUNTIFS(veri!G:G,104,veri!H:H,11)</f>
        <v>0</v>
      </c>
      <c r="C83" s="123">
        <f>COUNTIFS(veri!G:G,104,veri!H:H,12)</f>
        <v>0</v>
      </c>
      <c r="D83" s="123">
        <f>COUNTIFS(veri!G:G,104,veri!H:H,13)</f>
        <v>0</v>
      </c>
      <c r="E83" s="123">
        <f>COUNTIFS(veri!G:G,104,veri!H:H,14)</f>
        <v>0</v>
      </c>
      <c r="F83" s="123">
        <f>COUNTIFS(veri!G:G,104,veri!H:H,15)</f>
        <v>0</v>
      </c>
      <c r="G83" s="123">
        <f>COUNTIFS(veri!G:G,104,veri!H:H,16)</f>
        <v>0</v>
      </c>
      <c r="H83" s="123">
        <f>COUNTIFS(veri!G:G,104,veri!H:H,17)</f>
        <v>0</v>
      </c>
      <c r="I83" s="123">
        <f>COUNTIFS(veri!G:G,104,veri!H:H,18)</f>
        <v>0</v>
      </c>
      <c r="J83" s="123">
        <f>COUNTIFS(veri!G:G,104,veri!H:H,19)</f>
        <v>0</v>
      </c>
      <c r="K83" s="123">
        <f>COUNTIFS(veri!G:G,104,veri!H:H,20)</f>
        <v>0</v>
      </c>
      <c r="L83" s="123">
        <f>COUNTIFS(veri!G:G,104,veri!H:H,21)</f>
        <v>0</v>
      </c>
      <c r="M83" s="123">
        <f>COUNTIFS(veri!G:G,104,veri!H:H,22)</f>
        <v>0</v>
      </c>
      <c r="N83" s="123">
        <f>COUNTIFS(veri!G:G,104,veri!H:H,31)</f>
        <v>0</v>
      </c>
      <c r="O83" s="123">
        <f>COUNTIFS(veri!G:G,104,veri!H:H,32)</f>
        <v>0</v>
      </c>
      <c r="P83" s="123">
        <f>COUNTIFS(veri!G:G,104,veri!H:H,33)</f>
        <v>0</v>
      </c>
      <c r="Q83" s="123">
        <f>COUNTIFS(veri!G:G,104,veri!H:H,34)</f>
        <v>0</v>
      </c>
      <c r="R83" s="123">
        <f>COUNTIFS(veri!G:G,104,veri!H:H,35)</f>
        <v>0</v>
      </c>
      <c r="S83" s="123">
        <f>COUNTIFS(veri!G:G,104,veri!H:H,36)</f>
        <v>0</v>
      </c>
      <c r="T83" s="123">
        <f>COUNTIFS(veri!G:G,104,veri!H:H,37)</f>
        <v>0</v>
      </c>
      <c r="U83" s="123">
        <f>COUNTIFS(veri!G:G,104,veri!H:H,38)</f>
        <v>0</v>
      </c>
      <c r="V83" s="123">
        <f>COUNTIFS(veri!G:G,104,veri!H:H,39)</f>
        <v>0</v>
      </c>
      <c r="W83" s="123">
        <f>COUNTIFS(veri!G:G,104,veri!H:H,40)</f>
        <v>0</v>
      </c>
      <c r="X83" s="123">
        <f>COUNTIFS(veri!G:G,104,veri!H:H,41)</f>
        <v>0</v>
      </c>
      <c r="Y83" s="123">
        <f>COUNTIFS(veri!G:G,104,veri!H:H,42)</f>
        <v>0</v>
      </c>
      <c r="Z83" s="121">
        <f t="shared" si="2"/>
        <v>0</v>
      </c>
      <c r="AA83" s="14"/>
      <c r="AB83" s="14"/>
      <c r="AC83" s="14"/>
      <c r="AD83" s="14"/>
      <c r="AE83" s="14"/>
    </row>
    <row r="84" spans="1:31" ht="12.75" customHeight="1" x14ac:dyDescent="0.15">
      <c r="A84" s="120" t="s">
        <v>773</v>
      </c>
      <c r="B84" s="116">
        <f>COUNTIFS(veri!G:G,105,veri!H:H,11)</f>
        <v>0</v>
      </c>
      <c r="C84" s="116">
        <f>COUNTIFS(veri!G:G,105,veri!H:H,12)</f>
        <v>0</v>
      </c>
      <c r="D84" s="116">
        <f>COUNTIFS(veri!G:G,105,veri!H:H,13)</f>
        <v>0</v>
      </c>
      <c r="E84" s="116">
        <f>COUNTIFS(veri!G:G,105,veri!H:H,14)</f>
        <v>0</v>
      </c>
      <c r="F84" s="116">
        <f>COUNTIFS(veri!G:G,105,veri!H:H,15)</f>
        <v>0</v>
      </c>
      <c r="G84" s="116">
        <f>COUNTIFS(veri!G:G,105,veri!H:H,16)</f>
        <v>0</v>
      </c>
      <c r="H84" s="116">
        <f>COUNTIFS(veri!G:G,105,veri!H:H,17)</f>
        <v>0</v>
      </c>
      <c r="I84" s="116">
        <f>COUNTIFS(veri!G:G,105,veri!H:H,18)</f>
        <v>0</v>
      </c>
      <c r="J84" s="116">
        <f>COUNTIFS(veri!G:G,105,veri!H:H,19)</f>
        <v>0</v>
      </c>
      <c r="K84" s="116">
        <f>COUNTIFS(veri!G:G,105,veri!H:H,20)</f>
        <v>0</v>
      </c>
      <c r="L84" s="116">
        <f>COUNTIFS(veri!G:G,105,veri!H:H,21)</f>
        <v>0</v>
      </c>
      <c r="M84" s="116">
        <f>COUNTIFS(veri!G:G,105,veri!H:H,22)</f>
        <v>0</v>
      </c>
      <c r="N84" s="116">
        <f>COUNTIFS(veri!G:G,105,veri!H:H,31)</f>
        <v>0</v>
      </c>
      <c r="O84" s="116">
        <f>COUNTIFS(veri!G:G,105,veri!H:H,32)</f>
        <v>0</v>
      </c>
      <c r="P84" s="116">
        <f>COUNTIFS(veri!G:G,105,veri!H:H,33)</f>
        <v>0</v>
      </c>
      <c r="Q84" s="116">
        <f>COUNTIFS(veri!G:G,105,veri!H:H,34)</f>
        <v>0</v>
      </c>
      <c r="R84" s="116">
        <f>COUNTIFS(veri!G:G,105,veri!H:H,35)</f>
        <v>0</v>
      </c>
      <c r="S84" s="116">
        <f>COUNTIFS(veri!G:G,105,veri!H:H,36)</f>
        <v>0</v>
      </c>
      <c r="T84" s="116">
        <f>COUNTIFS(veri!G:G,105,veri!H:H,37)</f>
        <v>0</v>
      </c>
      <c r="U84" s="116">
        <f>COUNTIFS(veri!G:G,105,veri!H:H,38)</f>
        <v>0</v>
      </c>
      <c r="V84" s="116">
        <f>COUNTIFS(veri!G:G,105,veri!H:H,39)</f>
        <v>0</v>
      </c>
      <c r="W84" s="116">
        <f>COUNTIFS(veri!G:G,105,veri!H:H,40)</f>
        <v>0</v>
      </c>
      <c r="X84" s="116">
        <f>COUNTIFS(veri!G:G,105,veri!H:H,41)</f>
        <v>0</v>
      </c>
      <c r="Y84" s="116">
        <f>COUNTIFS(veri!G:G,105,veri!H:H,42)</f>
        <v>0</v>
      </c>
      <c r="Z84" s="121">
        <f t="shared" si="2"/>
        <v>0</v>
      </c>
      <c r="AA84" s="14"/>
      <c r="AB84" s="14"/>
      <c r="AC84" s="14"/>
      <c r="AD84" s="14"/>
      <c r="AE84" s="14"/>
    </row>
    <row r="85" spans="1:31" ht="12.75" customHeight="1" x14ac:dyDescent="0.15">
      <c r="A85" s="125" t="s">
        <v>234</v>
      </c>
      <c r="B85" s="121">
        <f t="shared" ref="B85:Z85" si="3">SUM(B4:B29)</f>
        <v>0</v>
      </c>
      <c r="C85" s="121">
        <f t="shared" si="3"/>
        <v>0</v>
      </c>
      <c r="D85" s="121">
        <f t="shared" si="3"/>
        <v>0</v>
      </c>
      <c r="E85" s="121">
        <f t="shared" si="3"/>
        <v>0</v>
      </c>
      <c r="F85" s="121">
        <f t="shared" si="3"/>
        <v>0</v>
      </c>
      <c r="G85" s="121">
        <f t="shared" si="3"/>
        <v>0</v>
      </c>
      <c r="H85" s="121">
        <f t="shared" si="3"/>
        <v>0</v>
      </c>
      <c r="I85" s="121">
        <f t="shared" si="3"/>
        <v>0</v>
      </c>
      <c r="J85" s="121">
        <f t="shared" si="3"/>
        <v>0</v>
      </c>
      <c r="K85" s="121">
        <f t="shared" si="3"/>
        <v>0</v>
      </c>
      <c r="L85" s="121">
        <f t="shared" si="3"/>
        <v>0</v>
      </c>
      <c r="M85" s="121">
        <f t="shared" si="3"/>
        <v>0</v>
      </c>
      <c r="N85" s="121">
        <f t="shared" si="3"/>
        <v>0</v>
      </c>
      <c r="O85" s="121">
        <f t="shared" si="3"/>
        <v>0</v>
      </c>
      <c r="P85" s="121">
        <f t="shared" si="3"/>
        <v>0</v>
      </c>
      <c r="Q85" s="121">
        <f t="shared" si="3"/>
        <v>0</v>
      </c>
      <c r="R85" s="121">
        <f t="shared" si="3"/>
        <v>0</v>
      </c>
      <c r="S85" s="121">
        <f t="shared" si="3"/>
        <v>0</v>
      </c>
      <c r="T85" s="121">
        <f t="shared" si="3"/>
        <v>0</v>
      </c>
      <c r="U85" s="121">
        <f t="shared" si="3"/>
        <v>0</v>
      </c>
      <c r="V85" s="121">
        <f t="shared" si="3"/>
        <v>0</v>
      </c>
      <c r="W85" s="121">
        <f t="shared" si="3"/>
        <v>0</v>
      </c>
      <c r="X85" s="121">
        <f t="shared" si="3"/>
        <v>0</v>
      </c>
      <c r="Y85" s="121">
        <f t="shared" si="3"/>
        <v>0</v>
      </c>
      <c r="Z85" s="121">
        <f t="shared" si="3"/>
        <v>0</v>
      </c>
      <c r="AA85" s="14"/>
      <c r="AB85" s="14"/>
      <c r="AC85" s="14"/>
      <c r="AD85" s="14"/>
      <c r="AE85" s="14"/>
    </row>
    <row r="86" spans="1:31" ht="12.75" customHeight="1" x14ac:dyDescent="0.15">
      <c r="A86" s="125" t="s">
        <v>345</v>
      </c>
      <c r="B86" s="121">
        <f t="shared" ref="B86:Z86" si="4">SUM(B30:B84)</f>
        <v>0</v>
      </c>
      <c r="C86" s="121">
        <f t="shared" si="4"/>
        <v>0</v>
      </c>
      <c r="D86" s="121">
        <f t="shared" si="4"/>
        <v>0</v>
      </c>
      <c r="E86" s="121">
        <f t="shared" si="4"/>
        <v>0</v>
      </c>
      <c r="F86" s="121">
        <f t="shared" si="4"/>
        <v>0</v>
      </c>
      <c r="G86" s="121">
        <f t="shared" si="4"/>
        <v>0</v>
      </c>
      <c r="H86" s="121">
        <f t="shared" si="4"/>
        <v>0</v>
      </c>
      <c r="I86" s="121">
        <f t="shared" si="4"/>
        <v>0</v>
      </c>
      <c r="J86" s="121">
        <f t="shared" si="4"/>
        <v>0</v>
      </c>
      <c r="K86" s="121">
        <f t="shared" si="4"/>
        <v>0</v>
      </c>
      <c r="L86" s="121">
        <f t="shared" si="4"/>
        <v>0</v>
      </c>
      <c r="M86" s="121">
        <f t="shared" si="4"/>
        <v>0</v>
      </c>
      <c r="N86" s="121">
        <f t="shared" si="4"/>
        <v>0</v>
      </c>
      <c r="O86" s="121">
        <f t="shared" si="4"/>
        <v>3</v>
      </c>
      <c r="P86" s="121">
        <f t="shared" si="4"/>
        <v>3</v>
      </c>
      <c r="Q86" s="121">
        <f t="shared" si="4"/>
        <v>0</v>
      </c>
      <c r="R86" s="121">
        <f t="shared" si="4"/>
        <v>1</v>
      </c>
      <c r="S86" s="121">
        <f t="shared" si="4"/>
        <v>0</v>
      </c>
      <c r="T86" s="121">
        <f t="shared" si="4"/>
        <v>0</v>
      </c>
      <c r="U86" s="121">
        <f t="shared" si="4"/>
        <v>0</v>
      </c>
      <c r="V86" s="121">
        <f t="shared" si="4"/>
        <v>0</v>
      </c>
      <c r="W86" s="121">
        <f t="shared" si="4"/>
        <v>0</v>
      </c>
      <c r="X86" s="121">
        <f t="shared" si="4"/>
        <v>1</v>
      </c>
      <c r="Y86" s="121">
        <f t="shared" si="4"/>
        <v>1</v>
      </c>
      <c r="Z86" s="121">
        <f t="shared" si="4"/>
        <v>9</v>
      </c>
      <c r="AA86" s="14"/>
      <c r="AB86" s="14"/>
      <c r="AC86" s="14"/>
      <c r="AD86" s="14"/>
      <c r="AE86" s="14"/>
    </row>
    <row r="87" spans="1:31" ht="12.75" customHeight="1" x14ac:dyDescent="0.15">
      <c r="A87" s="125" t="s">
        <v>774</v>
      </c>
      <c r="B87" s="121">
        <f t="shared" ref="B87:Z87" si="5">SUM(B4:B84)</f>
        <v>0</v>
      </c>
      <c r="C87" s="121">
        <f t="shared" si="5"/>
        <v>0</v>
      </c>
      <c r="D87" s="121">
        <f t="shared" si="5"/>
        <v>0</v>
      </c>
      <c r="E87" s="121">
        <f t="shared" si="5"/>
        <v>0</v>
      </c>
      <c r="F87" s="121">
        <f t="shared" si="5"/>
        <v>0</v>
      </c>
      <c r="G87" s="121">
        <f t="shared" si="5"/>
        <v>0</v>
      </c>
      <c r="H87" s="121">
        <f t="shared" si="5"/>
        <v>0</v>
      </c>
      <c r="I87" s="121">
        <f t="shared" si="5"/>
        <v>0</v>
      </c>
      <c r="J87" s="121">
        <f t="shared" si="5"/>
        <v>0</v>
      </c>
      <c r="K87" s="121">
        <f t="shared" si="5"/>
        <v>0</v>
      </c>
      <c r="L87" s="121">
        <f t="shared" si="5"/>
        <v>0</v>
      </c>
      <c r="M87" s="121">
        <f t="shared" si="5"/>
        <v>0</v>
      </c>
      <c r="N87" s="121">
        <f t="shared" si="5"/>
        <v>0</v>
      </c>
      <c r="O87" s="121">
        <f t="shared" si="5"/>
        <v>3</v>
      </c>
      <c r="P87" s="121">
        <f t="shared" si="5"/>
        <v>3</v>
      </c>
      <c r="Q87" s="121">
        <f t="shared" si="5"/>
        <v>0</v>
      </c>
      <c r="R87" s="121">
        <f t="shared" si="5"/>
        <v>1</v>
      </c>
      <c r="S87" s="121">
        <f t="shared" si="5"/>
        <v>0</v>
      </c>
      <c r="T87" s="121">
        <f t="shared" si="5"/>
        <v>0</v>
      </c>
      <c r="U87" s="121">
        <f t="shared" si="5"/>
        <v>0</v>
      </c>
      <c r="V87" s="121">
        <f t="shared" si="5"/>
        <v>0</v>
      </c>
      <c r="W87" s="121">
        <f t="shared" si="5"/>
        <v>0</v>
      </c>
      <c r="X87" s="121">
        <f t="shared" si="5"/>
        <v>1</v>
      </c>
      <c r="Y87" s="121">
        <f t="shared" si="5"/>
        <v>1</v>
      </c>
      <c r="Z87" s="121">
        <f t="shared" si="5"/>
        <v>9</v>
      </c>
      <c r="AA87" s="14"/>
      <c r="AB87" s="14"/>
      <c r="AC87" s="14"/>
      <c r="AD87" s="14"/>
      <c r="AE87" s="14"/>
    </row>
    <row r="88" spans="1:31" ht="12.75" customHeight="1" x14ac:dyDescent="0.15">
      <c r="A88" s="14"/>
      <c r="B88" s="13"/>
      <c r="C88" s="13"/>
      <c r="D88" s="13"/>
      <c r="E88" s="13"/>
      <c r="F88" s="13"/>
      <c r="G88" s="13"/>
      <c r="H88" s="13"/>
      <c r="I88" s="13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 spans="1:31" ht="12.75" customHeight="1" x14ac:dyDescent="0.15">
      <c r="A89" s="14"/>
      <c r="B89" s="13"/>
      <c r="C89" s="13"/>
      <c r="D89" s="13"/>
      <c r="E89" s="13"/>
      <c r="F89" s="13"/>
      <c r="G89" s="13"/>
      <c r="H89" s="13"/>
      <c r="I89" s="13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 spans="1:31" ht="12.75" customHeight="1" x14ac:dyDescent="0.1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 spans="1:31" ht="12.75" customHeight="1" x14ac:dyDescent="0.1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 spans="1:31" ht="12.75" customHeight="1" x14ac:dyDescent="0.1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 spans="1:31" ht="12.75" customHeight="1" x14ac:dyDescent="0.1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 spans="1:31" ht="12.75" customHeight="1" x14ac:dyDescent="0.1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 spans="1:31" ht="12.75" customHeight="1" x14ac:dyDescent="0.1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 spans="1:31" ht="12.75" customHeight="1" x14ac:dyDescent="0.1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 spans="1:31" ht="12.75" customHeight="1" x14ac:dyDescent="0.1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 spans="1:31" ht="12.75" customHeight="1" x14ac:dyDescent="0.1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 spans="1:31" ht="12.75" customHeight="1" x14ac:dyDescent="0.1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</sheetData>
  <printOptions horizontalCentered="1"/>
  <pageMargins left="0.97986111111111096" right="0.6" top="2.2999999999999998" bottom="1" header="1.6298611111111101" footer="0.511811023622047"/>
  <pageSetup paperSize="9" scale="95" orientation="portrait" horizontalDpi="300" verticalDpi="300"/>
  <headerFooter>
    <oddHeader>&amp;C- GLİ, 2022 -_x005F_x000a_KAZA YERLERİNE GÖRE KAZALANAN İŞÇİLERİN SANATLARI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K9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17" sqref="I17"/>
    </sheetView>
  </sheetViews>
  <sheetFormatPr baseColWidth="10" defaultColWidth="9" defaultRowHeight="13" x14ac:dyDescent="0.15"/>
  <cols>
    <col min="1" max="1" width="25" customWidth="1"/>
    <col min="2" max="3" width="9" style="3"/>
    <col min="5" max="5" width="9" style="3"/>
    <col min="7" max="7" width="9" style="3"/>
    <col min="11" max="11" width="9" style="110"/>
    <col min="35" max="35" width="9" style="30"/>
  </cols>
  <sheetData>
    <row r="1" spans="1:89" ht="10.5" customHeight="1" x14ac:dyDescent="0.15">
      <c r="A1" s="116"/>
      <c r="B1" s="13"/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</row>
    <row r="2" spans="1:89" ht="13.5" customHeight="1" x14ac:dyDescent="0.15">
      <c r="A2" s="117" t="s">
        <v>648</v>
      </c>
      <c r="B2" s="118" t="s">
        <v>47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9" t="s">
        <v>48</v>
      </c>
      <c r="AC2" s="119"/>
      <c r="AD2" s="119"/>
      <c r="AE2" s="119"/>
      <c r="AF2" s="119"/>
      <c r="AG2" s="119"/>
      <c r="AH2" s="119"/>
      <c r="AI2" s="128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119"/>
      <c r="BN2" s="119"/>
      <c r="BO2" s="119"/>
      <c r="BP2" s="119"/>
      <c r="BQ2" s="119"/>
      <c r="BR2" s="119"/>
      <c r="BS2" s="119"/>
      <c r="BT2" s="119"/>
      <c r="BU2" s="119"/>
      <c r="BV2" s="119"/>
      <c r="BW2" s="119"/>
      <c r="BX2" s="119"/>
      <c r="BY2" s="119"/>
      <c r="BZ2" s="119"/>
      <c r="CA2" s="119"/>
      <c r="CB2" s="119"/>
      <c r="CC2" s="119"/>
      <c r="CD2" s="119"/>
      <c r="CE2" s="14"/>
      <c r="CF2" s="14"/>
      <c r="CG2" s="14"/>
      <c r="CH2" s="14"/>
      <c r="CI2" s="14"/>
      <c r="CJ2" s="14"/>
      <c r="CK2" s="14"/>
    </row>
    <row r="3" spans="1:89" ht="103.5" customHeight="1" x14ac:dyDescent="0.15">
      <c r="A3" s="117" t="s">
        <v>649</v>
      </c>
      <c r="B3" s="118" t="s">
        <v>775</v>
      </c>
      <c r="C3" s="118" t="s">
        <v>776</v>
      </c>
      <c r="D3" s="118" t="s">
        <v>777</v>
      </c>
      <c r="E3" s="118" t="s">
        <v>778</v>
      </c>
      <c r="F3" s="118" t="s">
        <v>779</v>
      </c>
      <c r="G3" s="118" t="s">
        <v>780</v>
      </c>
      <c r="H3" s="118" t="s">
        <v>781</v>
      </c>
      <c r="I3" s="118" t="s">
        <v>782</v>
      </c>
      <c r="J3" s="118" t="s">
        <v>783</v>
      </c>
      <c r="K3" s="118" t="s">
        <v>784</v>
      </c>
      <c r="L3" s="118" t="s">
        <v>785</v>
      </c>
      <c r="M3" s="118" t="s">
        <v>786</v>
      </c>
      <c r="N3" s="118" t="s">
        <v>787</v>
      </c>
      <c r="O3" s="118" t="s">
        <v>788</v>
      </c>
      <c r="P3" s="118" t="s">
        <v>789</v>
      </c>
      <c r="Q3" s="118" t="s">
        <v>790</v>
      </c>
      <c r="R3" s="118" t="s">
        <v>791</v>
      </c>
      <c r="S3" s="118" t="s">
        <v>792</v>
      </c>
      <c r="T3" s="118" t="s">
        <v>793</v>
      </c>
      <c r="U3" s="118" t="s">
        <v>794</v>
      </c>
      <c r="V3" s="118" t="s">
        <v>795</v>
      </c>
      <c r="W3" s="118" t="s">
        <v>796</v>
      </c>
      <c r="X3" s="118" t="s">
        <v>797</v>
      </c>
      <c r="Y3" s="118" t="s">
        <v>798</v>
      </c>
      <c r="Z3" s="118" t="s">
        <v>799</v>
      </c>
      <c r="AA3" s="118" t="s">
        <v>800</v>
      </c>
      <c r="AB3" s="119" t="s">
        <v>801</v>
      </c>
      <c r="AC3" s="119" t="s">
        <v>802</v>
      </c>
      <c r="AD3" s="119" t="s">
        <v>803</v>
      </c>
      <c r="AE3" s="119" t="s">
        <v>804</v>
      </c>
      <c r="AF3" s="119" t="s">
        <v>805</v>
      </c>
      <c r="AG3" s="119" t="s">
        <v>806</v>
      </c>
      <c r="AH3" s="119" t="s">
        <v>807</v>
      </c>
      <c r="AI3" s="128" t="s">
        <v>808</v>
      </c>
      <c r="AJ3" s="119" t="s">
        <v>809</v>
      </c>
      <c r="AK3" s="119" t="s">
        <v>810</v>
      </c>
      <c r="AL3" s="119" t="s">
        <v>811</v>
      </c>
      <c r="AM3" s="119" t="s">
        <v>812</v>
      </c>
      <c r="AN3" s="119" t="s">
        <v>813</v>
      </c>
      <c r="AO3" s="119" t="s">
        <v>814</v>
      </c>
      <c r="AP3" s="119" t="s">
        <v>815</v>
      </c>
      <c r="AQ3" s="119" t="s">
        <v>816</v>
      </c>
      <c r="AR3" s="119" t="s">
        <v>817</v>
      </c>
      <c r="AS3" s="119" t="s">
        <v>818</v>
      </c>
      <c r="AT3" s="119" t="s">
        <v>819</v>
      </c>
      <c r="AU3" s="119" t="s">
        <v>820</v>
      </c>
      <c r="AV3" s="119" t="s">
        <v>821</v>
      </c>
      <c r="AW3" s="119" t="s">
        <v>822</v>
      </c>
      <c r="AX3" s="119" t="s">
        <v>823</v>
      </c>
      <c r="AY3" s="119" t="s">
        <v>824</v>
      </c>
      <c r="AZ3" s="119" t="s">
        <v>825</v>
      </c>
      <c r="BA3" s="119" t="s">
        <v>826</v>
      </c>
      <c r="BB3" s="119" t="s">
        <v>827</v>
      </c>
      <c r="BC3" s="119" t="s">
        <v>828</v>
      </c>
      <c r="BD3" s="119" t="s">
        <v>829</v>
      </c>
      <c r="BE3" s="119" t="s">
        <v>830</v>
      </c>
      <c r="BF3" s="119" t="s">
        <v>831</v>
      </c>
      <c r="BG3" s="119" t="s">
        <v>832</v>
      </c>
      <c r="BH3" s="119" t="s">
        <v>833</v>
      </c>
      <c r="BI3" s="119" t="s">
        <v>834</v>
      </c>
      <c r="BJ3" s="119" t="s">
        <v>835</v>
      </c>
      <c r="BK3" s="119" t="s">
        <v>836</v>
      </c>
      <c r="BL3" s="119" t="s">
        <v>837</v>
      </c>
      <c r="BM3" s="119" t="s">
        <v>838</v>
      </c>
      <c r="BN3" s="119" t="s">
        <v>839</v>
      </c>
      <c r="BO3" s="119" t="s">
        <v>840</v>
      </c>
      <c r="BP3" s="119" t="s">
        <v>841</v>
      </c>
      <c r="BQ3" s="119" t="s">
        <v>842</v>
      </c>
      <c r="BR3" s="119" t="s">
        <v>843</v>
      </c>
      <c r="BS3" s="119" t="s">
        <v>844</v>
      </c>
      <c r="BT3" s="119" t="s">
        <v>845</v>
      </c>
      <c r="BU3" s="119" t="s">
        <v>846</v>
      </c>
      <c r="BV3" s="119" t="s">
        <v>847</v>
      </c>
      <c r="BW3" s="119" t="s">
        <v>848</v>
      </c>
      <c r="BX3" s="119" t="s">
        <v>849</v>
      </c>
      <c r="BY3" s="119" t="s">
        <v>850</v>
      </c>
      <c r="BZ3" s="119" t="s">
        <v>851</v>
      </c>
      <c r="CA3" s="119" t="s">
        <v>852</v>
      </c>
      <c r="CB3" s="119" t="s">
        <v>853</v>
      </c>
      <c r="CC3" s="119" t="s">
        <v>854</v>
      </c>
      <c r="CD3" s="119" t="s">
        <v>855</v>
      </c>
      <c r="CE3" s="117" t="s">
        <v>856</v>
      </c>
      <c r="CF3" s="117" t="s">
        <v>857</v>
      </c>
      <c r="CG3" s="117" t="s">
        <v>113</v>
      </c>
      <c r="CH3" s="117" t="s">
        <v>519</v>
      </c>
      <c r="CI3" s="14"/>
      <c r="CJ3" s="14"/>
      <c r="CK3" s="14"/>
    </row>
    <row r="4" spans="1:89" ht="13.5" customHeight="1" x14ac:dyDescent="0.15">
      <c r="A4" s="120" t="s">
        <v>674</v>
      </c>
      <c r="B4" s="116">
        <f>COUNTIFS(veri!G:G,1,veri!I:I,"&gt;=100",veri!I:I,"&lt;200")</f>
        <v>0</v>
      </c>
      <c r="C4" s="116">
        <f>COUNTIFS(veri!G:G,2,veri!I:I,"&gt;=100",veri!I:I,"&lt;200")</f>
        <v>0</v>
      </c>
      <c r="D4" s="116">
        <f>COUNTIFS(veri!G:G,3,veri!I:I,"&gt;=100",veri!I:I,"&lt;200")</f>
        <v>0</v>
      </c>
      <c r="E4" s="116">
        <f>COUNTIFS(veri!G:G,4,veri!I:I,"&gt;=100",veri!I:I,"&lt;200")</f>
        <v>0</v>
      </c>
      <c r="F4" s="116">
        <f>COUNTIFS(veri!G:G,5,veri!I:I,"&gt;=100",veri!I:I,"&lt;200")</f>
        <v>0</v>
      </c>
      <c r="G4" s="116">
        <f>COUNTIFS(veri!G:G,6,veri!I:I,"&gt;=100",veri!I:I,"&lt;200")</f>
        <v>0</v>
      </c>
      <c r="H4" s="116">
        <f>COUNTIFS(veri!G:G,7,veri!I:I,"&gt;=100",veri!I:I,"&lt;200")</f>
        <v>0</v>
      </c>
      <c r="I4" s="116">
        <f>COUNTIFS(veri!G:G,8,veri!I:I,"&gt;=100",veri!I:I,"&lt;200")</f>
        <v>0</v>
      </c>
      <c r="J4" s="116">
        <f>COUNTIFS(veri!G:G,9,veri!I:I,"&gt;=100",veri!I:I,"&lt;200")</f>
        <v>0</v>
      </c>
      <c r="K4" s="116">
        <f>COUNTIFS(veri!G:G,10,veri!I:I,"&gt;=100",veri!I:I,"&lt;200")</f>
        <v>0</v>
      </c>
      <c r="L4" s="116">
        <f>COUNTIFS(veri!G:G,11,veri!I:I,"&gt;=100",veri!I:I,"&lt;200")</f>
        <v>0</v>
      </c>
      <c r="M4" s="116">
        <f>COUNTIFS(veri!G:G,12,veri!I:I,"&gt;=100",veri!I:I,"&lt;200")</f>
        <v>0</v>
      </c>
      <c r="N4" s="116">
        <f>COUNTIFS(veri!G:G,13,veri!I:I,"&gt;=100",veri!I:I,"&lt;200")</f>
        <v>0</v>
      </c>
      <c r="O4" s="116">
        <f>COUNTIFS(veri!G:G,14,veri!I:I,"&gt;=100",veri!I:I,"&lt;200")</f>
        <v>0</v>
      </c>
      <c r="P4" s="116">
        <f>COUNTIFS(veri!G:G,15,veri!I:I,"&gt;=100",veri!I:I,"&lt;200")</f>
        <v>0</v>
      </c>
      <c r="Q4" s="116">
        <f>COUNTIFS(veri!G:G,16,veri!I:I,"&gt;=100",veri!I:I,"&lt;200")</f>
        <v>0</v>
      </c>
      <c r="R4" s="116">
        <f>COUNTIFS(veri!G:G,17,veri!I:I,"&gt;=100",veri!I:I,"&lt;200")</f>
        <v>0</v>
      </c>
      <c r="S4" s="116">
        <f>COUNTIFS(veri!G:G,18,veri!I:I,"&gt;=100",veri!I:I,"&lt;200")</f>
        <v>0</v>
      </c>
      <c r="T4" s="116">
        <f>COUNTIFS(veri!G:G,19,veri!I:I,"&gt;=100",veri!I:I,"&lt;200")</f>
        <v>0</v>
      </c>
      <c r="U4" s="116">
        <f>COUNTIFS(veri!G:G,20,veri!I:I,"&gt;=100",veri!I:I,"&lt;200")</f>
        <v>0</v>
      </c>
      <c r="V4" s="116">
        <f>COUNTIFS(veri!G:G,21,veri!I:I,"&gt;=100",veri!I:I,"&lt;200")</f>
        <v>0</v>
      </c>
      <c r="W4" s="116">
        <f>COUNTIFS(veri!G:G,22,veri!I:I,"&gt;=100",veri!I:I,"&lt;200")</f>
        <v>0</v>
      </c>
      <c r="X4" s="116">
        <f>COUNTIFS(veri!G:G,23,veri!I:I,"&gt;=100",veri!I:I,"&lt;200")</f>
        <v>0</v>
      </c>
      <c r="Y4" s="116">
        <f>COUNTIFS(veri!G:G,24,veri!I:I,"&gt;=100",veri!I:I,"&lt;200")</f>
        <v>0</v>
      </c>
      <c r="Z4" s="116">
        <f>COUNTIFS(veri!G:G,25,veri!I:I,"&gt;=100",veri!I:I,"&lt;200")</f>
        <v>0</v>
      </c>
      <c r="AA4" s="116">
        <f>COUNTIFS(veri!G:G,26,veri!I:I,"&gt;=100",veri!I:I,"&lt;200")</f>
        <v>0</v>
      </c>
      <c r="AB4" s="116">
        <f>COUNTIFS(veri!G:G,51,veri!I:I,"&gt;=100",veri!I:I,"&lt;200")</f>
        <v>0</v>
      </c>
      <c r="AC4" s="116">
        <f>COUNTIFS(veri!G:G,52,veri!I:I,"&gt;=100",veri!I:I,"&lt;200")</f>
        <v>0</v>
      </c>
      <c r="AD4" s="116">
        <f>COUNTIFS(veri!G:G,53,veri!I:I,"&gt;=100",veri!I:I,"&lt;200")</f>
        <v>0</v>
      </c>
      <c r="AE4" s="116">
        <f>COUNTIFS(veri!G:G,54,veri!I:I,"&gt;=100",veri!I:I,"&lt;200")</f>
        <v>0</v>
      </c>
      <c r="AF4" s="116">
        <f>COUNTIFS(veri!G:G,55,veri!I:I,"&gt;=100",veri!I:I,"&lt;200")</f>
        <v>0</v>
      </c>
      <c r="AG4" s="116">
        <f>COUNTIFS(veri!G:G,56,veri!I:I,"&gt;=100",veri!I:I,"&lt;200")</f>
        <v>0</v>
      </c>
      <c r="AH4" s="116">
        <f>COUNTIFS(veri!G:G,57,veri!I:I,"&gt;=100",veri!I:I,"&lt;200")</f>
        <v>0</v>
      </c>
      <c r="AI4" s="127">
        <f>COUNTIFS(veri!G:G,58,veri!I:I,"&gt;=100",veri!I:I,"&lt;200")</f>
        <v>0</v>
      </c>
      <c r="AJ4" s="116">
        <f>COUNTIFS(veri!G:G,59,veri!I:I,"&gt;=100",veri!I:I,"&lt;200")</f>
        <v>0</v>
      </c>
      <c r="AK4" s="116">
        <f>COUNTIFS(veri!G:G,60,veri!I:I,"&gt;=100",veri!I:I,"&lt;200")</f>
        <v>0</v>
      </c>
      <c r="AL4" s="116">
        <f>COUNTIFS(veri!G:G,61,veri!I:I,"&gt;=100",veri!I:I,"&lt;200")</f>
        <v>0</v>
      </c>
      <c r="AM4" s="116">
        <f>COUNTIFS(veri!G:G,62,veri!I:I,"&gt;=100",veri!I:I,"&lt;200")</f>
        <v>0</v>
      </c>
      <c r="AN4" s="116">
        <f>COUNTIFS(veri!G:G,63,veri!I:I,"&gt;=100",veri!I:I,"&lt;200")</f>
        <v>0</v>
      </c>
      <c r="AO4" s="116">
        <f>COUNTIFS(veri!G:G,64,veri!I:I,"&gt;=100",veri!I:I,"&lt;200")</f>
        <v>0</v>
      </c>
      <c r="AP4" s="116">
        <f>COUNTIFS(veri!G:G,65,veri!I:I,"&gt;=100",veri!I:I,"&lt;200")</f>
        <v>0</v>
      </c>
      <c r="AQ4" s="116">
        <f>COUNTIFS(veri!G:G,66,veri!I:I,"&gt;=100",veri!I:I,"&lt;200")</f>
        <v>0</v>
      </c>
      <c r="AR4" s="116">
        <f>COUNTIFS(veri!G:G,67,veri!I:I,"&gt;=100",veri!I:I,"&lt;200")</f>
        <v>0</v>
      </c>
      <c r="AS4" s="116">
        <f>COUNTIFS(veri!G:G,68,veri!I:I,"&gt;=100",veri!I:I,"&lt;200")</f>
        <v>0</v>
      </c>
      <c r="AT4" s="116">
        <f>COUNTIFS(veri!G:G,69,veri!I:I,"&gt;=100",veri!I:I,"&lt;200")</f>
        <v>0</v>
      </c>
      <c r="AU4" s="116">
        <f>COUNTIFS(veri!G:G,70,veri!I:I,"&gt;=100",veri!I:I,"&lt;200")</f>
        <v>0</v>
      </c>
      <c r="AV4" s="116">
        <f>COUNTIFS(veri!G:G,71,veri!I:I,"&gt;=100",veri!I:I,"&lt;200")</f>
        <v>0</v>
      </c>
      <c r="AW4" s="116">
        <f>COUNTIFS(veri!G:G,72,veri!I:I,"&gt;=100",veri!I:I,"&lt;200")</f>
        <v>0</v>
      </c>
      <c r="AX4" s="116">
        <f>COUNTIFS(veri!G:G,73,veri!I:I,"&gt;=100",veri!I:I,"&lt;200")</f>
        <v>0</v>
      </c>
      <c r="AY4" s="116">
        <f>COUNTIFS(veri!G:G,74,veri!I:I,"&gt;=100",veri!I:I,"&lt;200")</f>
        <v>0</v>
      </c>
      <c r="AZ4" s="116">
        <f>COUNTIFS(veri!G:G,75,veri!I:I,"&gt;=100",veri!I:I,"&lt;200")</f>
        <v>0</v>
      </c>
      <c r="BA4" s="116">
        <f>COUNTIFS(veri!G:G,76,veri!I:I,"&gt;=100",veri!I:I,"&lt;200")</f>
        <v>0</v>
      </c>
      <c r="BB4" s="116">
        <f>COUNTIFS(veri!G:G,77,veri!I:I,"&gt;=100",veri!I:I,"&lt;200")</f>
        <v>0</v>
      </c>
      <c r="BC4" s="116">
        <f>COUNTIFS(veri!G:G,78,veri!I:I,"&gt;=100",veri!I:I,"&lt;200")</f>
        <v>0</v>
      </c>
      <c r="BD4" s="116">
        <f>COUNTIFS(veri!G:G,79,veri!I:I,"&gt;=100",veri!I:I,"&lt;200")</f>
        <v>0</v>
      </c>
      <c r="BE4" s="116">
        <f>COUNTIFS(veri!G:G,80,veri!I:I,"&gt;=100",veri!I:I,"&lt;200")</f>
        <v>0</v>
      </c>
      <c r="BF4" s="116">
        <f>COUNTIFS(veri!G:G,81,veri!I:I,"&gt;=100",veri!I:I,"&lt;200")</f>
        <v>0</v>
      </c>
      <c r="BG4" s="116">
        <f>COUNTIFS(veri!G:G,82,veri!I:I,"&gt;=100",veri!I:I,"&lt;200")</f>
        <v>0</v>
      </c>
      <c r="BH4" s="116">
        <f>COUNTIFS(veri!G:G,83,veri!I:I,"&gt;=100",veri!I:I,"&lt;200")</f>
        <v>0</v>
      </c>
      <c r="BI4" s="116">
        <f>COUNTIFS(veri!G:G,84,veri!I:I,"&gt;=100",veri!I:I,"&lt;200")</f>
        <v>0</v>
      </c>
      <c r="BJ4" s="116">
        <f>COUNTIFS(veri!G:G,85,veri!I:I,"&gt;=100",veri!I:I,"&lt;200")</f>
        <v>0</v>
      </c>
      <c r="BK4" s="116">
        <f>COUNTIFS(veri!G:G,86,veri!I:I,"&gt;=100",veri!I:I,"&lt;200")</f>
        <v>0</v>
      </c>
      <c r="BL4" s="116">
        <f>COUNTIFS(veri!G:G,87,veri!I:I,"&gt;=100",veri!I:I,"&lt;200")</f>
        <v>0</v>
      </c>
      <c r="BM4" s="116">
        <f>COUNTIFS(veri!G:G,88,veri!I:I,"&gt;=100",veri!I:I,"&lt;200")</f>
        <v>0</v>
      </c>
      <c r="BN4" s="116">
        <f>COUNTIFS(veri!G:G,89,veri!I:I,"&gt;=100",veri!I:I,"&lt;200")</f>
        <v>0</v>
      </c>
      <c r="BO4" s="116">
        <f>COUNTIFS(veri!G:G,90,veri!I:I,"&gt;=100",veri!I:I,"&lt;200")</f>
        <v>0</v>
      </c>
      <c r="BP4" s="116">
        <f>COUNTIFS(veri!G:G,91,veri!I:I,"&gt;=100",veri!I:I,"&lt;200")</f>
        <v>0</v>
      </c>
      <c r="BQ4" s="116">
        <f>COUNTIFS(veri!G:G,92,veri!I:I,"&gt;=100",veri!I:I,"&lt;200")</f>
        <v>0</v>
      </c>
      <c r="BR4" s="116">
        <f>COUNTIFS(veri!G:G,93,veri!I:I,"&gt;=100",veri!I:I,"&lt;200")</f>
        <v>0</v>
      </c>
      <c r="BS4" s="116">
        <f>COUNTIFS(veri!G:G,94,veri!I:I,"&gt;=100",veri!I:I,"&lt;200")</f>
        <v>0</v>
      </c>
      <c r="BT4" s="116">
        <f>COUNTIFS(veri!G:G,95,veri!I:I,"&gt;=100",veri!I:I,"&lt;200")</f>
        <v>0</v>
      </c>
      <c r="BU4" s="116">
        <f>COUNTIFS(veri!G:G,96,veri!I:I,"&gt;=100",veri!I:I,"&lt;200")</f>
        <v>0</v>
      </c>
      <c r="BV4" s="116">
        <f>COUNTIFS(veri!G:G,97,veri!I:I,"&gt;=100",veri!I:I,"&lt;200")</f>
        <v>0</v>
      </c>
      <c r="BW4" s="116">
        <f>COUNTIFS(veri!G:G,98,veri!I:I,"&gt;=100",veri!I:I,"&lt;200")</f>
        <v>0</v>
      </c>
      <c r="BX4" s="116">
        <f>COUNTIFS(veri!G:G,99,veri!I:I,"&gt;=100",veri!I:I,"&lt;200")</f>
        <v>0</v>
      </c>
      <c r="BY4" s="116">
        <f>COUNTIFS(veri!G:G,100,veri!I:I,"&gt;=100",veri!I:I,"&lt;200")</f>
        <v>0</v>
      </c>
      <c r="BZ4" s="116">
        <f>COUNTIFS(veri!G:G,101,veri!I:I,"&gt;=100",veri!I:I,"&lt;200")</f>
        <v>0</v>
      </c>
      <c r="CA4" s="116">
        <f>COUNTIFS(veri!G:G,102,veri!I:I,"&gt;=100",veri!I:I,"&lt;200")</f>
        <v>0</v>
      </c>
      <c r="CB4" s="116">
        <f>COUNTIFS(veri!G:G,103,veri!I:I,"&gt;=100",veri!I:I,"&lt;200")</f>
        <v>0</v>
      </c>
      <c r="CC4" s="116">
        <f>COUNTIFS(veri!G:G,104,veri!I:I,"&gt;=100",veri!I:I,"&lt;200")</f>
        <v>0</v>
      </c>
      <c r="CD4" s="116">
        <f>COUNTIFS(veri!G:G,105,veri!I:I,"&gt;=100",veri!I:I,"&lt;200")</f>
        <v>0</v>
      </c>
      <c r="CE4" s="121">
        <f t="shared" ref="CE4:CE22" si="0">SUM(B4:AA4)</f>
        <v>0</v>
      </c>
      <c r="CF4" s="121">
        <f t="shared" ref="CF4:CF22" si="1">SUM(AB4:CD4)</f>
        <v>0</v>
      </c>
      <c r="CG4" s="121">
        <f t="shared" ref="CG4:CG22" si="2">CE4+CF4</f>
        <v>0</v>
      </c>
      <c r="CH4" s="129">
        <f>IFERROR(CG4/CG24*100,0)</f>
        <v>0</v>
      </c>
      <c r="CI4" s="14"/>
      <c r="CJ4" s="14"/>
      <c r="CK4" s="14"/>
    </row>
    <row r="5" spans="1:89" ht="13.5" customHeight="1" x14ac:dyDescent="0.15">
      <c r="A5" s="122" t="s">
        <v>675</v>
      </c>
      <c r="B5" s="123">
        <f>COUNTIFS(veri!G:G,1,veri!I:I,"&gt;=200",veri!I:I,"&lt;300")</f>
        <v>0</v>
      </c>
      <c r="C5" s="123">
        <f>COUNTIFS(veri!G:G,2,veri!I:I,"&gt;=200",veri!I:I,"&lt;300")</f>
        <v>0</v>
      </c>
      <c r="D5" s="123">
        <f>COUNTIFS(veri!G:G,3,veri!I:I,"&gt;=200",veri!I:I,"&lt;300")</f>
        <v>0</v>
      </c>
      <c r="E5" s="123">
        <f>COUNTIFS(veri!G:G,4,veri!I:I,"&gt;=200",veri!I:I,"&lt;300")</f>
        <v>0</v>
      </c>
      <c r="F5" s="123">
        <f>COUNTIFS(veri!G:G,5,veri!I:I,"&gt;=200",veri!I:I,"&lt;300")</f>
        <v>0</v>
      </c>
      <c r="G5" s="123">
        <f>COUNTIFS(veri!G:G,6,veri!I:I,"&gt;=200",veri!I:I,"&lt;300")</f>
        <v>0</v>
      </c>
      <c r="H5" s="123">
        <f>COUNTIFS(veri!G:G,7,veri!I:I,"&gt;=200",veri!I:I,"&lt;300")</f>
        <v>0</v>
      </c>
      <c r="I5" s="123">
        <f>COUNTIFS(veri!G:G,8,veri!I:I,"&gt;=200",veri!I:I,"&lt;300")</f>
        <v>0</v>
      </c>
      <c r="J5" s="123">
        <f>COUNTIFS(veri!G:G,9,veri!I:I,"&gt;=200",veri!I:I,"&lt;300")</f>
        <v>0</v>
      </c>
      <c r="K5" s="123">
        <f>COUNTIFS(veri!G:G,10,veri!I:I,"&gt;=200",veri!I:I,"&lt;300")</f>
        <v>0</v>
      </c>
      <c r="L5" s="123">
        <f>COUNTIFS(veri!G:G,11,veri!I:I,"&gt;=200",veri!I:I,"&lt;300")</f>
        <v>0</v>
      </c>
      <c r="M5" s="123">
        <f>COUNTIFS(veri!G:G,12,veri!I:I,"&gt;=200",veri!I:I,"&lt;300")</f>
        <v>0</v>
      </c>
      <c r="N5" s="123">
        <f>COUNTIFS(veri!G:G,13,veri!I:I,"&gt;=200",veri!I:I,"&lt;300")</f>
        <v>0</v>
      </c>
      <c r="O5" s="123">
        <f>COUNTIFS(veri!G:G,14,veri!I:I,"&gt;=200",veri!I:I,"&lt;300")</f>
        <v>0</v>
      </c>
      <c r="P5" s="123">
        <f>COUNTIFS(veri!G:G,15,veri!I:I,"&gt;=200",veri!I:I,"&lt;300")</f>
        <v>0</v>
      </c>
      <c r="Q5" s="123">
        <f>COUNTIFS(veri!G:G,16,veri!I:I,"&gt;=200",veri!I:I,"&lt;300")</f>
        <v>0</v>
      </c>
      <c r="R5" s="123">
        <f>COUNTIFS(veri!G:G,17,veri!I:I,"&gt;=200",veri!I:I,"&lt;300")</f>
        <v>0</v>
      </c>
      <c r="S5" s="123">
        <f>COUNTIFS(veri!G:G,18,veri!I:I,"&gt;=200",veri!I:I,"&lt;300")</f>
        <v>0</v>
      </c>
      <c r="T5" s="123">
        <f>COUNTIFS(veri!G:G,19,veri!I:I,"&gt;=200",veri!I:I,"&lt;300")</f>
        <v>0</v>
      </c>
      <c r="U5" s="123">
        <f>COUNTIFS(veri!G:G,20,veri!I:I,"&gt;=200",veri!I:I,"&lt;300")</f>
        <v>0</v>
      </c>
      <c r="V5" s="123">
        <f>COUNTIFS(veri!G:G,21,veri!I:I,"&gt;=200",veri!I:I,"&lt;300")</f>
        <v>0</v>
      </c>
      <c r="W5" s="123">
        <f>COUNTIFS(veri!G:G,22,veri!I:I,"&gt;=200",veri!I:I,"&lt;300")</f>
        <v>0</v>
      </c>
      <c r="X5" s="123">
        <f>COUNTIFS(veri!G:G,23,veri!I:I,"&gt;=200",veri!I:I,"&lt;300")</f>
        <v>0</v>
      </c>
      <c r="Y5" s="123">
        <f>COUNTIFS(veri!G:G,24,veri!I:I,"&gt;=200",veri!I:I,"&lt;300")</f>
        <v>0</v>
      </c>
      <c r="Z5" s="123">
        <f>COUNTIFS(veri!G:G,25,veri!I:I,"&gt;=200",veri!I:I,"&lt;300")</f>
        <v>0</v>
      </c>
      <c r="AA5" s="123">
        <f>COUNTIFS(veri!G:G,26,veri!I:I,"&gt;=200",veri!I:I,"&lt;300")</f>
        <v>0</v>
      </c>
      <c r="AB5" s="123">
        <f>COUNTIFS(veri!G:G,51,veri!I:I,"&gt;=200",veri!I:I,"&lt;300")</f>
        <v>0</v>
      </c>
      <c r="AC5" s="123">
        <f>COUNTIFS(veri!G:G,52,veri!I:I,"&gt;=200",veri!I:I,"&lt;300")</f>
        <v>0</v>
      </c>
      <c r="AD5" s="123">
        <f>COUNTIFS(veri!G:G,53,veri!I:I,"&gt;=200",veri!I:I,"&lt;300")</f>
        <v>0</v>
      </c>
      <c r="AE5" s="123">
        <f>COUNTIFS(veri!G:G,54,veri!I:I,"&gt;=200",veri!I:I,"&lt;300")</f>
        <v>0</v>
      </c>
      <c r="AF5" s="123">
        <f>COUNTIFS(veri!G:G,55,veri!I:I,"&gt;=200",veri!I:I,"&lt;300")</f>
        <v>0</v>
      </c>
      <c r="AG5" s="123">
        <f>COUNTIFS(veri!G:G,56,veri!I:I,"&gt;=200",veri!I:I,"&lt;300")</f>
        <v>0</v>
      </c>
      <c r="AH5" s="123">
        <f>COUNTIFS(veri!G:G,57,veri!I:I,"&gt;=200",veri!I:I,"&lt;300")</f>
        <v>0</v>
      </c>
      <c r="AI5" s="124">
        <f>COUNTIFS(veri!G:G,58,veri!I:I,"&gt;=200",veri!I:I,"&lt;300")</f>
        <v>0</v>
      </c>
      <c r="AJ5" s="123">
        <f>COUNTIFS(veri!G:G,59,veri!I:I,"&gt;=200",veri!I:I,"&lt;300")</f>
        <v>0</v>
      </c>
      <c r="AK5" s="123">
        <f>COUNTIFS(veri!G:G,60,veri!I:I,"&gt;=200",veri!I:I,"&lt;300")</f>
        <v>0</v>
      </c>
      <c r="AL5" s="123">
        <f>COUNTIFS(veri!G:G,61,veri!I:I,"&gt;=200",veri!I:I,"&lt;300")</f>
        <v>0</v>
      </c>
      <c r="AM5" s="123">
        <f>COUNTIFS(veri!G:G,62,veri!I:I,"&gt;=200",veri!I:I,"&lt;300")</f>
        <v>0</v>
      </c>
      <c r="AN5" s="123">
        <f>COUNTIFS(veri!G:G,63,veri!I:I,"&gt;=200",veri!I:I,"&lt;300")</f>
        <v>0</v>
      </c>
      <c r="AO5" s="123">
        <f>COUNTIFS(veri!G:G,64,veri!I:I,"&gt;=200",veri!I:I,"&lt;300")</f>
        <v>0</v>
      </c>
      <c r="AP5" s="123">
        <f>COUNTIFS(veri!G:G,65,veri!I:I,"&gt;=200",veri!I:I,"&lt;300")</f>
        <v>0</v>
      </c>
      <c r="AQ5" s="123">
        <f>COUNTIFS(veri!G:G,66,veri!I:I,"&gt;=200",veri!I:I,"&lt;300")</f>
        <v>0</v>
      </c>
      <c r="AR5" s="123">
        <f>COUNTIFS(veri!G:G,67,veri!I:I,"&gt;=200",veri!I:I,"&lt;300")</f>
        <v>0</v>
      </c>
      <c r="AS5" s="123">
        <f>COUNTIFS(veri!G:G,68,veri!I:I,"&gt;=200",veri!I:I,"&lt;300")</f>
        <v>0</v>
      </c>
      <c r="AT5" s="123">
        <f>COUNTIFS(veri!G:G,69,veri!I:I,"&gt;=200",veri!I:I,"&lt;300")</f>
        <v>0</v>
      </c>
      <c r="AU5" s="123">
        <f>COUNTIFS(veri!G:G,70,veri!I:I,"&gt;=200",veri!I:I,"&lt;300")</f>
        <v>1</v>
      </c>
      <c r="AV5" s="123">
        <f>COUNTIFS(veri!G:G,71,veri!I:I,"&gt;=200",veri!I:I,"&lt;300")</f>
        <v>0</v>
      </c>
      <c r="AW5" s="123">
        <f>COUNTIFS(veri!G:G,72,veri!I:I,"&gt;=200",veri!I:I,"&lt;300")</f>
        <v>0</v>
      </c>
      <c r="AX5" s="123">
        <f>COUNTIFS(veri!G:G,73,veri!I:I,"&gt;=200",veri!I:I,"&lt;300")</f>
        <v>0</v>
      </c>
      <c r="AY5" s="123">
        <f>COUNTIFS(veri!G:G,74,veri!I:I,"&gt;=200",veri!I:I,"&lt;300")</f>
        <v>0</v>
      </c>
      <c r="AZ5" s="123">
        <f>COUNTIFS(veri!G:G,75,veri!I:I,"&gt;=200",veri!I:I,"&lt;300")</f>
        <v>0</v>
      </c>
      <c r="BA5" s="123">
        <f>COUNTIFS(veri!G:G,76,veri!I:I,"&gt;=200",veri!I:I,"&lt;300")</f>
        <v>0</v>
      </c>
      <c r="BB5" s="123">
        <f>COUNTIFS(veri!G:G,77,veri!I:I,"&gt;=200",veri!I:I,"&lt;300")</f>
        <v>0</v>
      </c>
      <c r="BC5" s="123">
        <f>COUNTIFS(veri!G:G,78,veri!I:I,"&gt;=200",veri!I:I,"&lt;300")</f>
        <v>0</v>
      </c>
      <c r="BD5" s="123">
        <f>COUNTIFS(veri!G:G,79,veri!I:I,"&gt;=200",veri!I:I,"&lt;300")</f>
        <v>0</v>
      </c>
      <c r="BE5" s="123">
        <f>COUNTIFS(veri!G:G,80,veri!I:I,"&gt;=200",veri!I:I,"&lt;300")</f>
        <v>0</v>
      </c>
      <c r="BF5" s="123">
        <f>COUNTIFS(veri!G:G,81,veri!I:I,"&gt;=200",veri!I:I,"&lt;300")</f>
        <v>0</v>
      </c>
      <c r="BG5" s="123">
        <f>COUNTIFS(veri!G:G,82,veri!I:I,"&gt;=200",veri!I:I,"&lt;300")</f>
        <v>0</v>
      </c>
      <c r="BH5" s="123">
        <f>COUNTIFS(veri!G:G,83,veri!I:I,"&gt;=200",veri!I:I,"&lt;300")</f>
        <v>0</v>
      </c>
      <c r="BI5" s="123">
        <f>COUNTIFS(veri!G:G,84,veri!I:I,"&gt;=200",veri!I:I,"&lt;300")</f>
        <v>0</v>
      </c>
      <c r="BJ5" s="123">
        <f>COUNTIFS(veri!G:G,85,veri!I:I,"&gt;=200",veri!I:I,"&lt;300")</f>
        <v>0</v>
      </c>
      <c r="BK5" s="123">
        <f>COUNTIFS(veri!G:G,86,veri!I:I,"&gt;=200",veri!I:I,"&lt;300")</f>
        <v>0</v>
      </c>
      <c r="BL5" s="123">
        <f>COUNTIFS(veri!G:G,87,veri!I:I,"&gt;=200",veri!I:I,"&lt;300")</f>
        <v>0</v>
      </c>
      <c r="BM5" s="123">
        <f>COUNTIFS(veri!G:G,88,veri!I:I,"&gt;=200",veri!I:I,"&lt;300")</f>
        <v>0</v>
      </c>
      <c r="BN5" s="123">
        <f>COUNTIFS(veri!G:G,89,veri!I:I,"&gt;=200",veri!I:I,"&lt;300")</f>
        <v>0</v>
      </c>
      <c r="BO5" s="123">
        <f>COUNTIFS(veri!G:G,90,veri!I:I,"&gt;=200",veri!I:I,"&lt;300")</f>
        <v>0</v>
      </c>
      <c r="BP5" s="123">
        <f>COUNTIFS(veri!G:G,91,veri!I:I,"&gt;=200",veri!I:I,"&lt;300")</f>
        <v>0</v>
      </c>
      <c r="BQ5" s="123">
        <f>COUNTIFS(veri!G:G,92,veri!I:I,"&gt;=200",veri!I:I,"&lt;300")</f>
        <v>0</v>
      </c>
      <c r="BR5" s="123">
        <f>COUNTIFS(veri!G:G,93,veri!I:I,"&gt;=200",veri!I:I,"&lt;300")</f>
        <v>0</v>
      </c>
      <c r="BS5" s="123">
        <f>COUNTIFS(veri!G:G,94,veri!I:I,"&gt;=200",veri!I:I,"&lt;300")</f>
        <v>0</v>
      </c>
      <c r="BT5" s="123">
        <f>COUNTIFS(veri!G:G,95,veri!I:I,"&gt;=200",veri!I:I,"&lt;300")</f>
        <v>0</v>
      </c>
      <c r="BU5" s="123">
        <f>COUNTIFS(veri!G:G,96,veri!I:I,"&gt;=200",veri!I:I,"&lt;300")</f>
        <v>0</v>
      </c>
      <c r="BV5" s="123">
        <f>COUNTIFS(veri!G:G,97,veri!I:I,"&gt;=200",veri!I:I,"&lt;300")</f>
        <v>0</v>
      </c>
      <c r="BW5" s="123">
        <f>COUNTIFS(veri!G:G,98,veri!I:I,"&gt;=200",veri!I:I,"&lt;300")</f>
        <v>0</v>
      </c>
      <c r="BX5" s="123">
        <f>COUNTIFS(veri!G:G,99,veri!I:I,"&gt;=200",veri!I:I,"&lt;300")</f>
        <v>0</v>
      </c>
      <c r="BY5" s="123">
        <f>COUNTIFS(veri!G:G,100,veri!I:I,"&gt;=200",veri!I:I,"&lt;300")</f>
        <v>0</v>
      </c>
      <c r="BZ5" s="123">
        <f>COUNTIFS(veri!G:G,101,veri!I:I,"&gt;=200",veri!I:I,"&lt;300")</f>
        <v>0</v>
      </c>
      <c r="CA5" s="123">
        <f>COUNTIFS(veri!G:G,102,veri!I:I,"&gt;=200",veri!I:I,"&lt;300")</f>
        <v>0</v>
      </c>
      <c r="CB5" s="123">
        <f>COUNTIFS(veri!G:G,103,veri!I:I,"&gt;=200",veri!I:I,"&lt;300")</f>
        <v>0</v>
      </c>
      <c r="CC5" s="123">
        <f>COUNTIFS(veri!G:G,104,veri!I:I,"&gt;=200",veri!I:I,"&lt;300")</f>
        <v>0</v>
      </c>
      <c r="CD5" s="123">
        <f>COUNTIFS(veri!G:G,105,veri!I:I,"&gt;=200",veri!I:I,"&lt;300")</f>
        <v>0</v>
      </c>
      <c r="CE5" s="121">
        <f t="shared" si="0"/>
        <v>0</v>
      </c>
      <c r="CF5" s="121">
        <f t="shared" si="1"/>
        <v>1</v>
      </c>
      <c r="CG5" s="121">
        <f t="shared" si="2"/>
        <v>1</v>
      </c>
      <c r="CH5" s="129">
        <f>IFERROR(CG5/CG24*100,0)</f>
        <v>0</v>
      </c>
      <c r="CI5" s="14"/>
      <c r="CJ5" s="14"/>
      <c r="CK5" s="14"/>
    </row>
    <row r="6" spans="1:89" ht="13.5" customHeight="1" x14ac:dyDescent="0.15">
      <c r="A6" s="120" t="s">
        <v>676</v>
      </c>
      <c r="B6" s="116">
        <f>COUNTIFS(veri!G:G,1,veri!I:I,"&gt;=300",veri!I:I,"&lt;400")</f>
        <v>0</v>
      </c>
      <c r="C6" s="116">
        <f>COUNTIFS(veri!G:G,2,veri!I:I,"&gt;=300",veri!I:I,"&lt;400")</f>
        <v>0</v>
      </c>
      <c r="D6" s="116">
        <f>COUNTIFS(veri!G:G,3,veri!I:I,"&gt;=300",veri!I:I,"&lt;400")</f>
        <v>0</v>
      </c>
      <c r="E6" s="116">
        <f>COUNTIFS(veri!G:G,4,veri!I:I,"&gt;=300",veri!I:I,"&lt;400")</f>
        <v>0</v>
      </c>
      <c r="F6" s="116">
        <f>COUNTIFS(veri!G:G,5,veri!I:I,"&gt;=300",veri!I:I,"&lt;400")</f>
        <v>0</v>
      </c>
      <c r="G6" s="116">
        <f>COUNTIFS(veri!G:G,6,veri!I:I,"&gt;=300",veri!I:I,"&lt;400")</f>
        <v>0</v>
      </c>
      <c r="H6" s="116">
        <f>COUNTIFS(veri!G:G,7,veri!I:I,"&gt;=300",veri!I:I,"&lt;400")</f>
        <v>0</v>
      </c>
      <c r="I6" s="116">
        <f>COUNTIFS(veri!G:G,8,veri!I:I,"&gt;=300",veri!I:I,"&lt;400")</f>
        <v>0</v>
      </c>
      <c r="J6" s="116">
        <f>COUNTIFS(veri!G:G,9,veri!I:I,"&gt;=300",veri!I:I,"&lt;400")</f>
        <v>0</v>
      </c>
      <c r="K6" s="116">
        <f>COUNTIFS(veri!G:G,10,veri!I:I,"&gt;=300",veri!I:I,"&lt;400")</f>
        <v>0</v>
      </c>
      <c r="L6" s="116">
        <f>COUNTIFS(veri!G:G,11,veri!I:I,"&gt;=300",veri!I:I,"&lt;400")</f>
        <v>0</v>
      </c>
      <c r="M6" s="116">
        <f>COUNTIFS(veri!G:G,12,veri!I:I,"&gt;=300",veri!I:I,"&lt;400")</f>
        <v>0</v>
      </c>
      <c r="N6" s="116">
        <f>COUNTIFS(veri!G:G,13,veri!I:I,"&gt;=300",veri!I:I,"&lt;400")</f>
        <v>0</v>
      </c>
      <c r="O6" s="116">
        <f>COUNTIFS(veri!G:G,14,veri!I:I,"&gt;=300",veri!I:I,"&lt;400")</f>
        <v>0</v>
      </c>
      <c r="P6" s="116">
        <f>COUNTIFS(veri!G:G,15,veri!I:I,"&gt;=300",veri!I:I,"&lt;400")</f>
        <v>0</v>
      </c>
      <c r="Q6" s="116">
        <f>COUNTIFS(veri!G:G,16,veri!I:I,"&gt;=300",veri!I:I,"&lt;400")</f>
        <v>0</v>
      </c>
      <c r="R6" s="116">
        <f>COUNTIFS(veri!G:G,17,veri!I:I,"&gt;=300",veri!I:I,"&lt;400")</f>
        <v>0</v>
      </c>
      <c r="S6" s="116">
        <f>COUNTIFS(veri!G:G,18,veri!I:I,"&gt;=300",veri!I:I,"&lt;400")</f>
        <v>0</v>
      </c>
      <c r="T6" s="116">
        <f>COUNTIFS(veri!G:G,19,veri!I:I,"&gt;=300",veri!I:I,"&lt;400")</f>
        <v>0</v>
      </c>
      <c r="U6" s="116">
        <f>COUNTIFS(veri!G:G,20,veri!I:I,"&gt;=300",veri!I:I,"&lt;400")</f>
        <v>0</v>
      </c>
      <c r="V6" s="116">
        <f>COUNTIFS(veri!G:G,21,veri!I:I,"&gt;=300",veri!I:I,"&lt;400")</f>
        <v>0</v>
      </c>
      <c r="W6" s="116">
        <f>COUNTIFS(veri!G:G,22,veri!I:I,"&gt;=300",veri!I:I,"&lt;400")</f>
        <v>0</v>
      </c>
      <c r="X6" s="116">
        <f>COUNTIFS(veri!G:G,23,veri!I:I,"&gt;=300",veri!I:I,"&lt;400")</f>
        <v>0</v>
      </c>
      <c r="Y6" s="116">
        <f>COUNTIFS(veri!G:G,24,veri!I:I,"&gt;=300",veri!I:I,"&lt;400")</f>
        <v>0</v>
      </c>
      <c r="Z6" s="116">
        <f>COUNTIFS(veri!G:G,25,veri!I:I,"&gt;=300",veri!I:I,"&lt;400")</f>
        <v>0</v>
      </c>
      <c r="AA6" s="116">
        <f>COUNTIFS(veri!G:G,26,veri!I:I,"&gt;=300",veri!I:I,"&lt;400")</f>
        <v>0</v>
      </c>
      <c r="AB6" s="116">
        <f>COUNTIFS(veri!G:G,51,veri!I:I,"&gt;=300",veri!I:I,"&lt;400")</f>
        <v>0</v>
      </c>
      <c r="AC6" s="116">
        <f>COUNTIFS(veri!G:G,52,veri!I:I,"&gt;=300",veri!I:I,"&lt;400")</f>
        <v>0</v>
      </c>
      <c r="AD6" s="116">
        <f>COUNTIFS(veri!G:G,53,veri!I:I,"&gt;=300",veri!I:I,"&lt;400")</f>
        <v>0</v>
      </c>
      <c r="AE6" s="116">
        <f>COUNTIFS(veri!G:G,54,veri!I:I,"&gt;=300",veri!I:I,"&lt;400")</f>
        <v>0</v>
      </c>
      <c r="AF6" s="116">
        <f>COUNTIFS(veri!G:G,55,veri!I:I,"&gt;=300",veri!I:I,"&lt;400")</f>
        <v>1</v>
      </c>
      <c r="AG6" s="116">
        <f>COUNTIFS(veri!G:G,56,veri!I:I,"&gt;=300",veri!I:I,"&lt;400")</f>
        <v>0</v>
      </c>
      <c r="AH6" s="116">
        <f>COUNTIFS(veri!G:G,57,veri!I:I,"&gt;=300",veri!I:I,"&lt;400")</f>
        <v>0</v>
      </c>
      <c r="AI6" s="127">
        <f>COUNTIFS(veri!G:G,58,veri!I:I,"&gt;=300",veri!I:I,"&lt;400")</f>
        <v>0</v>
      </c>
      <c r="AJ6" s="116">
        <f>COUNTIFS(veri!G:G,59,veri!I:I,"&gt;=300",veri!I:I,"&lt;400")</f>
        <v>1</v>
      </c>
      <c r="AK6" s="116">
        <f>COUNTIFS(veri!G:G,60,veri!I:I,"&gt;=300",veri!I:I,"&lt;400")</f>
        <v>0</v>
      </c>
      <c r="AL6" s="116">
        <f>COUNTIFS(veri!G:G,61,veri!I:I,"&gt;=300",veri!I:I,"&lt;400")</f>
        <v>0</v>
      </c>
      <c r="AM6" s="116">
        <f>COUNTIFS(veri!G:G,62,veri!I:I,"&gt;=300",veri!I:I,"&lt;400")</f>
        <v>0</v>
      </c>
      <c r="AN6" s="116">
        <f>COUNTIFS(veri!G:G,63,veri!I:I,"&gt;=300",veri!I:I,"&lt;400")</f>
        <v>0</v>
      </c>
      <c r="AO6" s="116">
        <f>COUNTIFS(veri!G:G,64,veri!I:I,"&gt;=300",veri!I:I,"&lt;400")</f>
        <v>0</v>
      </c>
      <c r="AP6" s="116">
        <f>COUNTIFS(veri!G:G,65,veri!I:I,"&gt;=300",veri!I:I,"&lt;400")</f>
        <v>0</v>
      </c>
      <c r="AQ6" s="116">
        <f>COUNTIFS(veri!G:G,66,veri!I:I,"&gt;=300",veri!I:I,"&lt;400")</f>
        <v>0</v>
      </c>
      <c r="AR6" s="116">
        <f>COUNTIFS(veri!G:G,67,veri!I:I,"&gt;=300",veri!I:I,"&lt;400")</f>
        <v>0</v>
      </c>
      <c r="AS6" s="116">
        <f>COUNTIFS(veri!G:G,68,veri!I:I,"&gt;=300",veri!I:I,"&lt;400")</f>
        <v>0</v>
      </c>
      <c r="AT6" s="116">
        <f>COUNTIFS(veri!G:G,69,veri!I:I,"&gt;=300",veri!I:I,"&lt;400")</f>
        <v>0</v>
      </c>
      <c r="AU6" s="116">
        <f>COUNTIFS(veri!G:G,70,veri!I:I,"&gt;=300",veri!I:I,"&lt;400")</f>
        <v>0</v>
      </c>
      <c r="AV6" s="116">
        <f>COUNTIFS(veri!G:G,71,veri!I:I,"&gt;=300",veri!I:I,"&lt;400")</f>
        <v>0</v>
      </c>
      <c r="AW6" s="116">
        <f>COUNTIFS(veri!G:G,72,veri!I:I,"&gt;=300",veri!I:I,"&lt;400")</f>
        <v>0</v>
      </c>
      <c r="AX6" s="116">
        <f>COUNTIFS(veri!G:G,73,veri!I:I,"&gt;=300",veri!I:I,"&lt;400")</f>
        <v>0</v>
      </c>
      <c r="AY6" s="116">
        <f>COUNTIFS(veri!G:G,74,veri!I:I,"&gt;=300",veri!I:I,"&lt;400")</f>
        <v>0</v>
      </c>
      <c r="AZ6" s="116">
        <f>COUNTIFS(veri!G:G,75,veri!I:I,"&gt;=300",veri!I:I,"&lt;400")</f>
        <v>0</v>
      </c>
      <c r="BA6" s="116">
        <f>COUNTIFS(veri!G:G,76,veri!I:I,"&gt;=300",veri!I:I,"&lt;400")</f>
        <v>0</v>
      </c>
      <c r="BB6" s="116">
        <f>COUNTIFS(veri!G:G,77,veri!I:I,"&gt;=300",veri!I:I,"&lt;400")</f>
        <v>0</v>
      </c>
      <c r="BC6" s="116">
        <f>COUNTIFS(veri!G:G,78,veri!I:I,"&gt;=300",veri!I:I,"&lt;400")</f>
        <v>0</v>
      </c>
      <c r="BD6" s="116">
        <f>COUNTIFS(veri!G:G,79,veri!I:I,"&gt;=300",veri!I:I,"&lt;400")</f>
        <v>0</v>
      </c>
      <c r="BE6" s="116">
        <f>COUNTIFS(veri!G:G,80,veri!I:I,"&gt;=300",veri!I:I,"&lt;400")</f>
        <v>0</v>
      </c>
      <c r="BF6" s="116">
        <f>COUNTIFS(veri!G:G,81,veri!I:I,"&gt;=300",veri!I:I,"&lt;400")</f>
        <v>0</v>
      </c>
      <c r="BG6" s="116">
        <f>COUNTIFS(veri!G:G,82,veri!I:I,"&gt;=300",veri!I:I,"&lt;400")</f>
        <v>0</v>
      </c>
      <c r="BH6" s="116">
        <f>COUNTIFS(veri!G:G,83,veri!I:I,"&gt;=300",veri!I:I,"&lt;400")</f>
        <v>0</v>
      </c>
      <c r="BI6" s="116">
        <f>COUNTIFS(veri!G:G,84,veri!I:I,"&gt;=300",veri!I:I,"&lt;400")</f>
        <v>0</v>
      </c>
      <c r="BJ6" s="116">
        <f>COUNTIFS(veri!G:G,85,veri!I:I,"&gt;=300",veri!I:I,"&lt;400")</f>
        <v>0</v>
      </c>
      <c r="BK6" s="116">
        <f>COUNTIFS(veri!G:G,86,veri!I:I,"&gt;=300",veri!I:I,"&lt;400")</f>
        <v>0</v>
      </c>
      <c r="BL6" s="116">
        <f>COUNTIFS(veri!G:G,87,veri!I:I,"&gt;=300",veri!I:I,"&lt;400")</f>
        <v>0</v>
      </c>
      <c r="BM6" s="116">
        <f>COUNTIFS(veri!G:G,88,veri!I:I,"&gt;=300",veri!I:I,"&lt;400")</f>
        <v>0</v>
      </c>
      <c r="BN6" s="116">
        <f>COUNTIFS(veri!G:G,89,veri!I:I,"&gt;=300",veri!I:I,"&lt;400")</f>
        <v>0</v>
      </c>
      <c r="BO6" s="116">
        <f>COUNTIFS(veri!G:G,90,veri!I:I,"&gt;=300",veri!I:I,"&lt;400")</f>
        <v>0</v>
      </c>
      <c r="BP6" s="116">
        <f>COUNTIFS(veri!G:G,91,veri!I:I,"&gt;=300",veri!I:I,"&lt;400")</f>
        <v>0</v>
      </c>
      <c r="BQ6" s="116">
        <f>COUNTIFS(veri!G:G,92,veri!I:I,"&gt;=300",veri!I:I,"&lt;400")</f>
        <v>0</v>
      </c>
      <c r="BR6" s="116">
        <f>COUNTIFS(veri!G:G,93,veri!I:I,"&gt;=300",veri!I:I,"&lt;400")</f>
        <v>0</v>
      </c>
      <c r="BS6" s="116">
        <f>COUNTIFS(veri!G:G,94,veri!I:I,"&gt;=300",veri!I:I,"&lt;400")</f>
        <v>0</v>
      </c>
      <c r="BT6" s="116">
        <f>COUNTIFS(veri!G:G,95,veri!I:I,"&gt;=300",veri!I:I,"&lt;400")</f>
        <v>0</v>
      </c>
      <c r="BU6" s="116">
        <f>COUNTIFS(veri!G:G,96,veri!I:I,"&gt;=300",veri!I:I,"&lt;400")</f>
        <v>1</v>
      </c>
      <c r="BV6" s="116">
        <f>COUNTIFS(veri!G:G,97,veri!I:I,"&gt;=300",veri!I:I,"&lt;400")</f>
        <v>0</v>
      </c>
      <c r="BW6" s="116">
        <f>COUNTIFS(veri!G:G,98,veri!I:I,"&gt;=300",veri!I:I,"&lt;400")</f>
        <v>0</v>
      </c>
      <c r="BX6" s="116">
        <f>COUNTIFS(veri!G:G,99,veri!I:I,"&gt;=300",veri!I:I,"&lt;400")</f>
        <v>0</v>
      </c>
      <c r="BY6" s="116">
        <f>COUNTIFS(veri!G:G,100,veri!I:I,"&gt;=300",veri!I:I,"&lt;400")</f>
        <v>0</v>
      </c>
      <c r="BZ6" s="116">
        <f>COUNTIFS(veri!G:G,101,veri!I:I,"&gt;=300",veri!I:I,"&lt;400")</f>
        <v>0</v>
      </c>
      <c r="CA6" s="116">
        <f>COUNTIFS(veri!G:G,102,veri!I:I,"&gt;=300",veri!I:I,"&lt;400")</f>
        <v>0</v>
      </c>
      <c r="CB6" s="116">
        <f>COUNTIFS(veri!G:G,103,veri!I:I,"&gt;=300",veri!I:I,"&lt;400")</f>
        <v>0</v>
      </c>
      <c r="CC6" s="116">
        <f>COUNTIFS(veri!G:G,104,veri!I:I,"&gt;=300",veri!I:I,"&lt;400")</f>
        <v>0</v>
      </c>
      <c r="CD6" s="116">
        <f>COUNTIFS(veri!G:G,105,veri!I:I,"&gt;=300",veri!I:I,"&lt;400")</f>
        <v>0</v>
      </c>
      <c r="CE6" s="121">
        <f t="shared" si="0"/>
        <v>0</v>
      </c>
      <c r="CF6" s="121">
        <f t="shared" si="1"/>
        <v>3</v>
      </c>
      <c r="CG6" s="121">
        <f t="shared" si="2"/>
        <v>3</v>
      </c>
      <c r="CH6" s="129">
        <f>IFERROR(CG6/CG24*100,0)</f>
        <v>0</v>
      </c>
      <c r="CI6" s="14"/>
      <c r="CJ6" s="14"/>
      <c r="CK6" s="14"/>
    </row>
    <row r="7" spans="1:89" ht="13.5" customHeight="1" x14ac:dyDescent="0.15">
      <c r="A7" s="122" t="s">
        <v>677</v>
      </c>
      <c r="B7" s="123">
        <f>COUNTIFS(veri!G:G,1,veri!I:I,"&gt;=400",veri!I:I,"&lt;500")</f>
        <v>0</v>
      </c>
      <c r="C7" s="123">
        <f>COUNTIFS(veri!G:G,2,veri!I:I,"&gt;=400",veri!I:I,"&lt;500")</f>
        <v>0</v>
      </c>
      <c r="D7" s="123">
        <f>COUNTIFS(veri!G:G,3,veri!I:I,"&gt;=400",veri!I:I,"&lt;500")</f>
        <v>0</v>
      </c>
      <c r="E7" s="123">
        <f>COUNTIFS(veri!G:G,4,veri!I:I,"&gt;=400",veri!I:I,"&lt;500")</f>
        <v>0</v>
      </c>
      <c r="F7" s="123">
        <f>COUNTIFS(veri!G:G,5,veri!I:I,"&gt;=400",veri!I:I,"&lt;500")</f>
        <v>0</v>
      </c>
      <c r="G7" s="123">
        <f>COUNTIFS(veri!G:G,6,veri!I:I,"&gt;=400",veri!I:I,"&lt;500")</f>
        <v>0</v>
      </c>
      <c r="H7" s="123">
        <f>COUNTIFS(veri!G:G,7,veri!I:I,"&gt;=400",veri!I:I,"&lt;500")</f>
        <v>0</v>
      </c>
      <c r="I7" s="123">
        <f>COUNTIFS(veri!G:G,8,veri!I:I,"&gt;=400",veri!I:I,"&lt;500")</f>
        <v>0</v>
      </c>
      <c r="J7" s="123">
        <f>COUNTIFS(veri!G:G,9,veri!I:I,"&gt;=400",veri!I:I,"&lt;500")</f>
        <v>0</v>
      </c>
      <c r="K7" s="123">
        <f>COUNTIFS(veri!G:G,10,veri!I:I,"&gt;=400",veri!I:I,"&lt;500")</f>
        <v>0</v>
      </c>
      <c r="L7" s="123">
        <f>COUNTIFS(veri!G:G,11,veri!I:I,"&gt;=400",veri!I:I,"&lt;500")</f>
        <v>0</v>
      </c>
      <c r="M7" s="123">
        <f>COUNTIFS(veri!G:G,12,veri!I:I,"&gt;=400",veri!I:I,"&lt;500")</f>
        <v>0</v>
      </c>
      <c r="N7" s="123">
        <f>COUNTIFS(veri!G:G,13,veri!I:I,"&gt;=400",veri!I:I,"&lt;500")</f>
        <v>0</v>
      </c>
      <c r="O7" s="123">
        <f>COUNTIFS(veri!G:G,14,veri!I:I,"&gt;=400",veri!I:I,"&lt;500")</f>
        <v>0</v>
      </c>
      <c r="P7" s="123">
        <f>COUNTIFS(veri!G:G,15,veri!I:I,"&gt;=400",veri!I:I,"&lt;500")</f>
        <v>0</v>
      </c>
      <c r="Q7" s="123">
        <f>COUNTIFS(veri!G:G,16,veri!I:I,"&gt;=400",veri!I:I,"&lt;500")</f>
        <v>0</v>
      </c>
      <c r="R7" s="123">
        <f>COUNTIFS(veri!G:G,17,veri!I:I,"&gt;=400",veri!I:I,"&lt;500")</f>
        <v>0</v>
      </c>
      <c r="S7" s="123">
        <f>COUNTIFS(veri!G:G,18,veri!I:I,"&gt;=400",veri!I:I,"&lt;500")</f>
        <v>0</v>
      </c>
      <c r="T7" s="123">
        <f>COUNTIFS(veri!G:G,19,veri!I:I,"&gt;=400",veri!I:I,"&lt;500")</f>
        <v>0</v>
      </c>
      <c r="U7" s="123">
        <f>COUNTIFS(veri!G:G,20,veri!I:I,"&gt;=400",veri!I:I,"&lt;500")</f>
        <v>0</v>
      </c>
      <c r="V7" s="123">
        <f>COUNTIFS(veri!G:G,21,veri!I:I,"&gt;=400",veri!I:I,"&lt;500")</f>
        <v>0</v>
      </c>
      <c r="W7" s="123">
        <f>COUNTIFS(veri!G:G,22,veri!I:I,"&gt;=400",veri!I:I,"&lt;500")</f>
        <v>0</v>
      </c>
      <c r="X7" s="123">
        <f>COUNTIFS(veri!G:G,23,veri!I:I,"&gt;=400",veri!I:I,"&lt;500")</f>
        <v>0</v>
      </c>
      <c r="Y7" s="123">
        <f>COUNTIFS(veri!G:G,24,veri!I:I,"&gt;=400",veri!I:I,"&lt;500")</f>
        <v>0</v>
      </c>
      <c r="Z7" s="123">
        <f>COUNTIFS(veri!G:G,25,veri!I:I,"&gt;=400",veri!I:I,"&lt;500")</f>
        <v>0</v>
      </c>
      <c r="AA7" s="123">
        <f>COUNTIFS(veri!G:G,26,veri!I:I,"&gt;=400",veri!I:I,"&lt;500")</f>
        <v>0</v>
      </c>
      <c r="AB7" s="123">
        <f>COUNTIFS(veri!G:G,51,veri!I:I,"&gt;=400",veri!I:I,"&lt;500")</f>
        <v>0</v>
      </c>
      <c r="AC7" s="123">
        <f>COUNTIFS(veri!G:G,52,veri!I:I,"&gt;=400",veri!I:I,"&lt;500")</f>
        <v>0</v>
      </c>
      <c r="AD7" s="123">
        <f>COUNTIFS(veri!G:G,53,veri!I:I,"&gt;=400",veri!I:I,"&lt;500")</f>
        <v>0</v>
      </c>
      <c r="AE7" s="123">
        <f>COUNTIFS(veri!G:G,54,veri!I:I,"&gt;=400",veri!I:I,"&lt;500")</f>
        <v>0</v>
      </c>
      <c r="AF7" s="123">
        <f>COUNTIFS(veri!G:G,55,veri!I:I,"&gt;=400",veri!I:I,"&lt;500")</f>
        <v>0</v>
      </c>
      <c r="AG7" s="123">
        <f>COUNTIFS(veri!G:G,56,veri!I:I,"&gt;=400",veri!I:I,"&lt;500")</f>
        <v>0</v>
      </c>
      <c r="AH7" s="123">
        <f>COUNTIFS(veri!G:G,57,veri!I:I,"&gt;=400",veri!I:I,"&lt;500")</f>
        <v>0</v>
      </c>
      <c r="AI7" s="124">
        <f>COUNTIFS(veri!G:G,58,veri!I:I,"&gt;=400",veri!I:I,"&lt;500")</f>
        <v>0</v>
      </c>
      <c r="AJ7" s="123">
        <f>COUNTIFS(veri!G:G,59,veri!I:I,"&gt;=400",veri!I:I,"&lt;500")</f>
        <v>0</v>
      </c>
      <c r="AK7" s="123">
        <f>COUNTIFS(veri!G:G,60,veri!I:I,"&gt;=400",veri!I:I,"&lt;500")</f>
        <v>0</v>
      </c>
      <c r="AL7" s="123">
        <f>COUNTIFS(veri!G:G,61,veri!I:I,"&gt;=400",veri!I:I,"&lt;500")</f>
        <v>0</v>
      </c>
      <c r="AM7" s="123">
        <f>COUNTIFS(veri!G:G,62,veri!I:I,"&gt;=400",veri!I:I,"&lt;500")</f>
        <v>0</v>
      </c>
      <c r="AN7" s="123">
        <f>COUNTIFS(veri!G:G,63,veri!I:I,"&gt;=400",veri!I:I,"&lt;500")</f>
        <v>0</v>
      </c>
      <c r="AO7" s="123">
        <f>COUNTIFS(veri!G:G,64,veri!I:I,"&gt;=400",veri!I:I,"&lt;500")</f>
        <v>0</v>
      </c>
      <c r="AP7" s="123">
        <f>COUNTIFS(veri!G:G,65,veri!I:I,"&gt;=400",veri!I:I,"&lt;500")</f>
        <v>0</v>
      </c>
      <c r="AQ7" s="123">
        <f>COUNTIFS(veri!G:G,66,veri!I:I,"&gt;=400",veri!I:I,"&lt;500")</f>
        <v>0</v>
      </c>
      <c r="AR7" s="123">
        <f>COUNTIFS(veri!G:G,67,veri!I:I,"&gt;=400",veri!I:I,"&lt;500")</f>
        <v>0</v>
      </c>
      <c r="AS7" s="123">
        <f>COUNTIFS(veri!G:G,68,veri!I:I,"&gt;=400",veri!I:I,"&lt;500")</f>
        <v>0</v>
      </c>
      <c r="AT7" s="123">
        <f>COUNTIFS(veri!G:G,69,veri!I:I,"&gt;=400",veri!I:I,"&lt;500")</f>
        <v>0</v>
      </c>
      <c r="AU7" s="123">
        <f>COUNTIFS(veri!G:G,70,veri!I:I,"&gt;=400",veri!I:I,"&lt;500")</f>
        <v>1</v>
      </c>
      <c r="AV7" s="123">
        <f>COUNTIFS(veri!G:G,71,veri!I:I,"&gt;=400",veri!I:I,"&lt;500")</f>
        <v>0</v>
      </c>
      <c r="AW7" s="123">
        <f>COUNTIFS(veri!G:G,72,veri!I:I,"&gt;=400",veri!I:I,"&lt;500")</f>
        <v>0</v>
      </c>
      <c r="AX7" s="123">
        <f>COUNTIFS(veri!G:G,73,veri!I:I,"&gt;=400",veri!I:I,"&lt;500")</f>
        <v>0</v>
      </c>
      <c r="AY7" s="123">
        <f>COUNTIFS(veri!G:G,74,veri!I:I,"&gt;=400",veri!I:I,"&lt;500")</f>
        <v>0</v>
      </c>
      <c r="AZ7" s="123">
        <f>COUNTIFS(veri!G:G,75,veri!I:I,"&gt;=400",veri!I:I,"&lt;500")</f>
        <v>0</v>
      </c>
      <c r="BA7" s="123">
        <f>COUNTIFS(veri!G:G,76,veri!I:I,"&gt;=400",veri!I:I,"&lt;500")</f>
        <v>0</v>
      </c>
      <c r="BB7" s="123">
        <f>COUNTIFS(veri!G:G,77,veri!I:I,"&gt;=400",veri!I:I,"&lt;500")</f>
        <v>0</v>
      </c>
      <c r="BC7" s="123">
        <f>COUNTIFS(veri!G:G,78,veri!I:I,"&gt;=400",veri!I:I,"&lt;500")</f>
        <v>0</v>
      </c>
      <c r="BD7" s="123">
        <f>COUNTIFS(veri!G:G,79,veri!I:I,"&gt;=400",veri!I:I,"&lt;500")</f>
        <v>0</v>
      </c>
      <c r="BE7" s="123">
        <f>COUNTIFS(veri!G:G,80,veri!I:I,"&gt;=400",veri!I:I,"&lt;500")</f>
        <v>0</v>
      </c>
      <c r="BF7" s="123">
        <f>COUNTIFS(veri!G:G,81,veri!I:I,"&gt;=400",veri!I:I,"&lt;500")</f>
        <v>0</v>
      </c>
      <c r="BG7" s="123">
        <f>COUNTIFS(veri!G:G,82,veri!I:I,"&gt;=400",veri!I:I,"&lt;500")</f>
        <v>0</v>
      </c>
      <c r="BH7" s="123">
        <f>COUNTIFS(veri!G:G,83,veri!I:I,"&gt;=400",veri!I:I,"&lt;500")</f>
        <v>0</v>
      </c>
      <c r="BI7" s="123">
        <f>COUNTIFS(veri!G:G,84,veri!I:I,"&gt;=400",veri!I:I,"&lt;500")</f>
        <v>0</v>
      </c>
      <c r="BJ7" s="123">
        <f>COUNTIFS(veri!G:G,85,veri!I:I,"&gt;=400",veri!I:I,"&lt;500")</f>
        <v>0</v>
      </c>
      <c r="BK7" s="123">
        <f>COUNTIFS(veri!G:G,86,veri!I:I,"&gt;=400",veri!I:I,"&lt;500")</f>
        <v>1</v>
      </c>
      <c r="BL7" s="123">
        <f>COUNTIFS(veri!G:G,87,veri!I:I,"&gt;=400",veri!I:I,"&lt;500")</f>
        <v>0</v>
      </c>
      <c r="BM7" s="123">
        <f>COUNTIFS(veri!G:G,88,veri!I:I,"&gt;=400",veri!I:I,"&lt;500")</f>
        <v>0</v>
      </c>
      <c r="BN7" s="123">
        <f>COUNTIFS(veri!G:G,89,veri!I:I,"&gt;=400",veri!I:I,"&lt;500")</f>
        <v>0</v>
      </c>
      <c r="BO7" s="123">
        <f>COUNTIFS(veri!G:G,90,veri!I:I,"&gt;=400",veri!I:I,"&lt;500")</f>
        <v>0</v>
      </c>
      <c r="BP7" s="123">
        <f>COUNTIFS(veri!G:G,91,veri!I:I,"&gt;=400",veri!I:I,"&lt;500")</f>
        <v>0</v>
      </c>
      <c r="BQ7" s="123">
        <f>COUNTIFS(veri!G:G,92,veri!I:I,"&gt;=400",veri!I:I,"&lt;500")</f>
        <v>0</v>
      </c>
      <c r="BR7" s="123">
        <f>COUNTIFS(veri!G:G,93,veri!I:I,"&gt;=400",veri!I:I,"&lt;500")</f>
        <v>0</v>
      </c>
      <c r="BS7" s="123">
        <f>COUNTIFS(veri!G:G,94,veri!I:I,"&gt;=400",veri!I:I,"&lt;500")</f>
        <v>0</v>
      </c>
      <c r="BT7" s="123">
        <f>COUNTIFS(veri!G:G,95,veri!I:I,"&gt;=400",veri!I:I,"&lt;500")</f>
        <v>0</v>
      </c>
      <c r="BU7" s="123">
        <f>COUNTIFS(veri!G:G,96,veri!I:I,"&gt;=400",veri!I:I,"&lt;500")</f>
        <v>0</v>
      </c>
      <c r="BV7" s="123">
        <f>COUNTIFS(veri!G:G,97,veri!I:I,"&gt;=400",veri!I:I,"&lt;500")</f>
        <v>0</v>
      </c>
      <c r="BW7" s="123">
        <f>COUNTIFS(veri!G:G,98,veri!I:I,"&gt;=400",veri!I:I,"&lt;500")</f>
        <v>0</v>
      </c>
      <c r="BX7" s="123">
        <f>COUNTIFS(veri!G:G,99,veri!I:I,"&gt;=400",veri!I:I,"&lt;500")</f>
        <v>0</v>
      </c>
      <c r="BY7" s="123">
        <f>COUNTIFS(veri!G:G,100,veri!I:I,"&gt;=400",veri!I:I,"&lt;500")</f>
        <v>0</v>
      </c>
      <c r="BZ7" s="123">
        <f>COUNTIFS(veri!G:G,101,veri!I:I,"&gt;=400",veri!I:I,"&lt;500")</f>
        <v>0</v>
      </c>
      <c r="CA7" s="123">
        <f>COUNTIFS(veri!G:G,102,veri!I:I,"&gt;=400",veri!I:I,"&lt;500")</f>
        <v>0</v>
      </c>
      <c r="CB7" s="123">
        <f>COUNTIFS(veri!G:G,103,veri!I:I,"&gt;=400",veri!I:I,"&lt;500")</f>
        <v>0</v>
      </c>
      <c r="CC7" s="123">
        <f>COUNTIFS(veri!G:G,104,veri!I:I,"&gt;=400",veri!I:I,"&lt;500")</f>
        <v>0</v>
      </c>
      <c r="CD7" s="123">
        <f>COUNTIFS(veri!G:G,105,veri!I:I,"&gt;=400",veri!I:I,"&lt;500")</f>
        <v>0</v>
      </c>
      <c r="CE7" s="121">
        <f t="shared" si="0"/>
        <v>0</v>
      </c>
      <c r="CF7" s="121">
        <f t="shared" si="1"/>
        <v>2</v>
      </c>
      <c r="CG7" s="121">
        <f t="shared" si="2"/>
        <v>2</v>
      </c>
      <c r="CH7" s="129">
        <f>IFERROR(CG7/CG24*100,0)</f>
        <v>0</v>
      </c>
      <c r="CI7" s="14"/>
      <c r="CJ7" s="14"/>
      <c r="CK7" s="14"/>
    </row>
    <row r="8" spans="1:89" ht="13.5" customHeight="1" x14ac:dyDescent="0.15">
      <c r="A8" s="120" t="s">
        <v>678</v>
      </c>
      <c r="B8" s="116">
        <f>COUNTIFS(veri!G:G,1,veri!I:I,"&gt;=500",veri!I:I,"&lt;600")</f>
        <v>0</v>
      </c>
      <c r="C8" s="116">
        <f>COUNTIFS(veri!G:G,2,veri!I:I,"&gt;=500",veri!I:I,"&lt;600")</f>
        <v>0</v>
      </c>
      <c r="D8" s="116">
        <f>COUNTIFS(veri!G:G,3,veri!I:I,"&gt;=500",veri!I:I,"&lt;600")</f>
        <v>0</v>
      </c>
      <c r="E8" s="116">
        <f>COUNTIFS(veri!G:G,4,veri!I:I,"&gt;=500",veri!I:I,"&lt;600")</f>
        <v>0</v>
      </c>
      <c r="F8" s="116">
        <f>COUNTIFS(veri!G:G,5,veri!I:I,"&gt;=500",veri!I:I,"&lt;600")</f>
        <v>0</v>
      </c>
      <c r="G8" s="116">
        <f>COUNTIFS(veri!G:G,6,veri!I:I,"&gt;=500",veri!I:I,"&lt;600")</f>
        <v>0</v>
      </c>
      <c r="H8" s="116">
        <f>COUNTIFS(veri!G:G,7,veri!I:I,"&gt;=500",veri!I:I,"&lt;600")</f>
        <v>0</v>
      </c>
      <c r="I8" s="116">
        <f>COUNTIFS(veri!G:G,8,veri!I:I,"&gt;=500",veri!I:I,"&lt;600")</f>
        <v>0</v>
      </c>
      <c r="J8" s="116">
        <f>COUNTIFS(veri!G:G,9,veri!I:I,"&gt;=500",veri!I:I,"&lt;600")</f>
        <v>0</v>
      </c>
      <c r="K8" s="116">
        <f>COUNTIFS(veri!G:G,10,veri!I:I,"&gt;=500",veri!I:I,"&lt;600")</f>
        <v>0</v>
      </c>
      <c r="L8" s="116">
        <f>COUNTIFS(veri!G:G,11,veri!I:I,"&gt;=500",veri!I:I,"&lt;600")</f>
        <v>0</v>
      </c>
      <c r="M8" s="116">
        <f>COUNTIFS(veri!G:G,12,veri!I:I,"&gt;=500",veri!I:I,"&lt;600")</f>
        <v>0</v>
      </c>
      <c r="N8" s="116">
        <f>COUNTIFS(veri!G:G,13,veri!I:I,"&gt;=500",veri!I:I,"&lt;600")</f>
        <v>0</v>
      </c>
      <c r="O8" s="116">
        <f>COUNTIFS(veri!G:G,14,veri!I:I,"&gt;=500",veri!I:I,"&lt;600")</f>
        <v>0</v>
      </c>
      <c r="P8" s="116">
        <f>COUNTIFS(veri!G:G,15,veri!I:I,"&gt;=500",veri!I:I,"&lt;600")</f>
        <v>0</v>
      </c>
      <c r="Q8" s="116">
        <f>COUNTIFS(veri!G:G,16,veri!I:I,"&gt;=500",veri!I:I,"&lt;600")</f>
        <v>0</v>
      </c>
      <c r="R8" s="116">
        <f>COUNTIFS(veri!G:G,17,veri!I:I,"&gt;=500",veri!I:I,"&lt;600")</f>
        <v>0</v>
      </c>
      <c r="S8" s="116">
        <f>COUNTIFS(veri!G:G,18,veri!I:I,"&gt;=500",veri!I:I,"&lt;600")</f>
        <v>0</v>
      </c>
      <c r="T8" s="116">
        <f>COUNTIFS(veri!G:G,19,veri!I:I,"&gt;=500",veri!I:I,"&lt;600")</f>
        <v>0</v>
      </c>
      <c r="U8" s="116">
        <f>COUNTIFS(veri!G:G,20,veri!I:I,"&gt;=500",veri!I:I,"&lt;600")</f>
        <v>0</v>
      </c>
      <c r="V8" s="116">
        <f>COUNTIFS(veri!G:G,21,veri!I:I,"&gt;=500",veri!I:I,"&lt;600")</f>
        <v>0</v>
      </c>
      <c r="W8" s="116">
        <f>COUNTIFS(veri!G:G,22,veri!I:I,"&gt;=500",veri!I:I,"&lt;600")</f>
        <v>0</v>
      </c>
      <c r="X8" s="116">
        <f>COUNTIFS(veri!G:G,23,veri!I:I,"&gt;=500",veri!I:I,"&lt;600")</f>
        <v>0</v>
      </c>
      <c r="Y8" s="116">
        <f>COUNTIFS(veri!G:G,24,veri!I:I,"&gt;=500",veri!I:I,"&lt;600")</f>
        <v>0</v>
      </c>
      <c r="Z8" s="116">
        <f>COUNTIFS(veri!G:G,25,veri!I:I,"&gt;=500",veri!I:I,"&lt;600")</f>
        <v>0</v>
      </c>
      <c r="AA8" s="116">
        <f>COUNTIFS(veri!G:G,26,veri!I:I,"&gt;=500",veri!I:I,"&lt;600")</f>
        <v>0</v>
      </c>
      <c r="AB8" s="116">
        <f>COUNTIFS(veri!G:G,51,veri!I:I,"&gt;=500",veri!I:I,"&lt;600")</f>
        <v>0</v>
      </c>
      <c r="AC8" s="116">
        <f>COUNTIFS(veri!G:G,52,veri!I:I,"&gt;=500",veri!I:I,"&lt;600")</f>
        <v>0</v>
      </c>
      <c r="AD8" s="116">
        <f>COUNTIFS(veri!G:G,53,veri!I:I,"&gt;=500",veri!I:I,"&lt;600")</f>
        <v>0</v>
      </c>
      <c r="AE8" s="116">
        <f>COUNTIFS(veri!G:G,54,veri!I:I,"&gt;=500",veri!I:I,"&lt;600")</f>
        <v>0</v>
      </c>
      <c r="AF8" s="116">
        <f>COUNTIFS(veri!G:G,55,veri!I:I,"&gt;=500",veri!I:I,"&lt;600")</f>
        <v>0</v>
      </c>
      <c r="AG8" s="116">
        <f>COUNTIFS(veri!G:G,56,veri!I:I,"&gt;=500",veri!I:I,"&lt;600")</f>
        <v>0</v>
      </c>
      <c r="AH8" s="116">
        <f>COUNTIFS(veri!G:G,57,veri!I:I,"&gt;=500",veri!I:I,"&lt;600")</f>
        <v>0</v>
      </c>
      <c r="AI8" s="127">
        <f>COUNTIFS(veri!G:G,58,veri!I:I,"&gt;=500",veri!I:I,"&lt;600")</f>
        <v>0</v>
      </c>
      <c r="AJ8" s="116">
        <f>COUNTIFS(veri!G:G,59,veri!I:I,"&gt;=500",veri!I:I,"&lt;600")</f>
        <v>0</v>
      </c>
      <c r="AK8" s="116">
        <f>COUNTIFS(veri!G:G,60,veri!I:I,"&gt;=500",veri!I:I,"&lt;600")</f>
        <v>0</v>
      </c>
      <c r="AL8" s="116">
        <f>COUNTIFS(veri!G:G,61,veri!I:I,"&gt;=500",veri!I:I,"&lt;600")</f>
        <v>0</v>
      </c>
      <c r="AM8" s="116">
        <f>COUNTIFS(veri!G:G,62,veri!I:I,"&gt;=500",veri!I:I,"&lt;600")</f>
        <v>0</v>
      </c>
      <c r="AN8" s="116">
        <f>COUNTIFS(veri!G:G,63,veri!I:I,"&gt;=500",veri!I:I,"&lt;600")</f>
        <v>0</v>
      </c>
      <c r="AO8" s="116">
        <f>COUNTIFS(veri!G:G,64,veri!I:I,"&gt;=500",veri!I:I,"&lt;600")</f>
        <v>0</v>
      </c>
      <c r="AP8" s="116">
        <f>COUNTIFS(veri!G:G,65,veri!I:I,"&gt;=500",veri!I:I,"&lt;600")</f>
        <v>0</v>
      </c>
      <c r="AQ8" s="116">
        <f>COUNTIFS(veri!G:G,66,veri!I:I,"&gt;=500",veri!I:I,"&lt;600")</f>
        <v>0</v>
      </c>
      <c r="AR8" s="116">
        <f>COUNTIFS(veri!G:G,67,veri!I:I,"&gt;=500",veri!I:I,"&lt;600")</f>
        <v>0</v>
      </c>
      <c r="AS8" s="116">
        <f>COUNTIFS(veri!G:G,68,veri!I:I,"&gt;=500",veri!I:I,"&lt;600")</f>
        <v>0</v>
      </c>
      <c r="AT8" s="116">
        <f>COUNTIFS(veri!G:G,69,veri!I:I,"&gt;=500",veri!I:I,"&lt;600")</f>
        <v>0</v>
      </c>
      <c r="AU8" s="116">
        <f>COUNTIFS(veri!G:G,70,veri!I:I,"&gt;=500",veri!I:I,"&lt;600")</f>
        <v>0</v>
      </c>
      <c r="AV8" s="116">
        <f>COUNTIFS(veri!G:G,71,veri!I:I,"&gt;=500",veri!I:I,"&lt;600")</f>
        <v>0</v>
      </c>
      <c r="AW8" s="116">
        <f>COUNTIFS(veri!G:G,72,veri!I:I,"&gt;=500",veri!I:I,"&lt;600")</f>
        <v>0</v>
      </c>
      <c r="AX8" s="116">
        <f>COUNTIFS(veri!G:G,73,veri!I:I,"&gt;=500",veri!I:I,"&lt;600")</f>
        <v>0</v>
      </c>
      <c r="AY8" s="116">
        <f>COUNTIFS(veri!G:G,74,veri!I:I,"&gt;=500",veri!I:I,"&lt;600")</f>
        <v>0</v>
      </c>
      <c r="AZ8" s="116">
        <f>COUNTIFS(veri!G:G,75,veri!I:I,"&gt;=500",veri!I:I,"&lt;600")</f>
        <v>0</v>
      </c>
      <c r="BA8" s="116">
        <f>COUNTIFS(veri!G:G,76,veri!I:I,"&gt;=500",veri!I:I,"&lt;600")</f>
        <v>0</v>
      </c>
      <c r="BB8" s="116">
        <f>COUNTIFS(veri!G:G,77,veri!I:I,"&gt;=500",veri!I:I,"&lt;600")</f>
        <v>0</v>
      </c>
      <c r="BC8" s="116">
        <f>COUNTIFS(veri!G:G,78,veri!I:I,"&gt;=500",veri!I:I,"&lt;600")</f>
        <v>0</v>
      </c>
      <c r="BD8" s="116">
        <f>COUNTIFS(veri!G:G,79,veri!I:I,"&gt;=500",veri!I:I,"&lt;600")</f>
        <v>0</v>
      </c>
      <c r="BE8" s="116">
        <f>COUNTIFS(veri!G:G,80,veri!I:I,"&gt;=500",veri!I:I,"&lt;600")</f>
        <v>0</v>
      </c>
      <c r="BF8" s="116">
        <f>COUNTIFS(veri!G:G,81,veri!I:I,"&gt;=500",veri!I:I,"&lt;600")</f>
        <v>0</v>
      </c>
      <c r="BG8" s="116">
        <f>COUNTIFS(veri!G:G,82,veri!I:I,"&gt;=500",veri!I:I,"&lt;600")</f>
        <v>0</v>
      </c>
      <c r="BH8" s="116">
        <f>COUNTIFS(veri!G:G,83,veri!I:I,"&gt;=500",veri!I:I,"&lt;600")</f>
        <v>0</v>
      </c>
      <c r="BI8" s="116">
        <f>COUNTIFS(veri!G:G,84,veri!I:I,"&gt;=500",veri!I:I,"&lt;600")</f>
        <v>0</v>
      </c>
      <c r="BJ8" s="116">
        <f>COUNTIFS(veri!G:G,85,veri!I:I,"&gt;=500",veri!I:I,"&lt;600")</f>
        <v>0</v>
      </c>
      <c r="BK8" s="116">
        <f>COUNTIFS(veri!G:G,86,veri!I:I,"&gt;=500",veri!I:I,"&lt;600")</f>
        <v>0</v>
      </c>
      <c r="BL8" s="116">
        <f>COUNTIFS(veri!G:G,87,veri!I:I,"&gt;=500",veri!I:I,"&lt;600")</f>
        <v>0</v>
      </c>
      <c r="BM8" s="116">
        <f>COUNTIFS(veri!G:G,88,veri!I:I,"&gt;=500",veri!I:I,"&lt;600")</f>
        <v>0</v>
      </c>
      <c r="BN8" s="116">
        <f>COUNTIFS(veri!G:G,89,veri!I:I,"&gt;=500",veri!I:I,"&lt;600")</f>
        <v>0</v>
      </c>
      <c r="BO8" s="116">
        <f>COUNTIFS(veri!G:G,90,veri!I:I,"&gt;=500",veri!I:I,"&lt;600")</f>
        <v>0</v>
      </c>
      <c r="BP8" s="116">
        <f>COUNTIFS(veri!G:G,91,veri!I:I,"&gt;=500",veri!I:I,"&lt;600")</f>
        <v>0</v>
      </c>
      <c r="BQ8" s="116">
        <f>COUNTIFS(veri!G:G,92,veri!I:I,"&gt;=500",veri!I:I,"&lt;600")</f>
        <v>0</v>
      </c>
      <c r="BR8" s="116">
        <f>COUNTIFS(veri!G:G,93,veri!I:I,"&gt;=500",veri!I:I,"&lt;600")</f>
        <v>0</v>
      </c>
      <c r="BS8" s="116">
        <f>COUNTIFS(veri!G:G,94,veri!I:I,"&gt;=500",veri!I:I,"&lt;600")</f>
        <v>0</v>
      </c>
      <c r="BT8" s="116">
        <f>COUNTIFS(veri!G:G,95,veri!I:I,"&gt;=500",veri!I:I,"&lt;600")</f>
        <v>0</v>
      </c>
      <c r="BU8" s="116">
        <f>COUNTIFS(veri!G:G,96,veri!I:I,"&gt;=500",veri!I:I,"&lt;600")</f>
        <v>0</v>
      </c>
      <c r="BV8" s="116">
        <f>COUNTIFS(veri!G:G,97,veri!I:I,"&gt;=500",veri!I:I,"&lt;600")</f>
        <v>0</v>
      </c>
      <c r="BW8" s="116">
        <f>COUNTIFS(veri!G:G,98,veri!I:I,"&gt;=500",veri!I:I,"&lt;600")</f>
        <v>0</v>
      </c>
      <c r="BX8" s="116">
        <f>COUNTIFS(veri!G:G,99,veri!I:I,"&gt;=500",veri!I:I,"&lt;600")</f>
        <v>0</v>
      </c>
      <c r="BY8" s="116">
        <f>COUNTIFS(veri!G:G,100,veri!I:I,"&gt;=500",veri!I:I,"&lt;600")</f>
        <v>0</v>
      </c>
      <c r="BZ8" s="116">
        <f>COUNTIFS(veri!G:G,101,veri!I:I,"&gt;=500",veri!I:I,"&lt;600")</f>
        <v>0</v>
      </c>
      <c r="CA8" s="116">
        <f>COUNTIFS(veri!G:G,102,veri!I:I,"&gt;=500",veri!I:I,"&lt;600")</f>
        <v>0</v>
      </c>
      <c r="CB8" s="116">
        <f>COUNTIFS(veri!G:G,103,veri!I:I,"&gt;=500",veri!I:I,"&lt;600")</f>
        <v>0</v>
      </c>
      <c r="CC8" s="116">
        <f>COUNTIFS(veri!G:G,104,veri!I:I,"&gt;=500",veri!I:I,"&lt;600")</f>
        <v>0</v>
      </c>
      <c r="CD8" s="116">
        <f>COUNTIFS(veri!G:G,105,veri!I:I,"&gt;=500",veri!I:I,"&lt;600")</f>
        <v>0</v>
      </c>
      <c r="CE8" s="121">
        <f t="shared" si="0"/>
        <v>0</v>
      </c>
      <c r="CF8" s="121">
        <f t="shared" si="1"/>
        <v>0</v>
      </c>
      <c r="CG8" s="121">
        <f t="shared" si="2"/>
        <v>0</v>
      </c>
      <c r="CH8" s="129">
        <f>IFERROR(CG8/CG24*100,0)</f>
        <v>0</v>
      </c>
      <c r="CI8" s="14"/>
      <c r="CJ8" s="14"/>
      <c r="CK8" s="14"/>
    </row>
    <row r="9" spans="1:89" ht="13.5" customHeight="1" x14ac:dyDescent="0.15">
      <c r="A9" s="122" t="s">
        <v>679</v>
      </c>
      <c r="B9" s="123">
        <f>COUNTIFS(veri!G:G,1,veri!I:I,"&gt;=600",veri!I:I,"&lt;700")</f>
        <v>0</v>
      </c>
      <c r="C9" s="123">
        <f>COUNTIFS(veri!G:G,2,veri!I:I,"&gt;=600",veri!I:I,"&lt;700")</f>
        <v>0</v>
      </c>
      <c r="D9" s="123">
        <f>COUNTIFS(veri!G:G,3,veri!I:I,"&gt;=600",veri!I:I,"&lt;700")</f>
        <v>0</v>
      </c>
      <c r="E9" s="123">
        <f>COUNTIFS(veri!G:G,4,veri!I:I,"&gt;=600",veri!I:I,"&lt;700")</f>
        <v>0</v>
      </c>
      <c r="F9" s="123">
        <f>COUNTIFS(veri!G:G,5,veri!I:I,"&gt;=600",veri!I:I,"&lt;700")</f>
        <v>0</v>
      </c>
      <c r="G9" s="123">
        <f>COUNTIFS(veri!G:G,6,veri!I:I,"&gt;=600",veri!I:I,"&lt;700")</f>
        <v>0</v>
      </c>
      <c r="H9" s="123">
        <f>COUNTIFS(veri!G:G,7,veri!I:I,"&gt;=600",veri!I:I,"&lt;700")</f>
        <v>0</v>
      </c>
      <c r="I9" s="123">
        <f>COUNTIFS(veri!G:G,8,veri!I:I,"&gt;=600",veri!I:I,"&lt;700")</f>
        <v>0</v>
      </c>
      <c r="J9" s="123">
        <f>COUNTIFS(veri!G:G,9,veri!I:I,"&gt;=600",veri!I:I,"&lt;700")</f>
        <v>0</v>
      </c>
      <c r="K9" s="123">
        <f>COUNTIFS(veri!G:G,10,veri!I:I,"&gt;=600",veri!I:I,"&lt;700")</f>
        <v>0</v>
      </c>
      <c r="L9" s="123">
        <f>COUNTIFS(veri!G:G,11,veri!I:I,"&gt;=600",veri!I:I,"&lt;700")</f>
        <v>0</v>
      </c>
      <c r="M9" s="123">
        <f>COUNTIFS(veri!G:G,12,veri!I:I,"&gt;=600",veri!I:I,"&lt;700")</f>
        <v>0</v>
      </c>
      <c r="N9" s="123">
        <f>COUNTIFS(veri!G:G,13,veri!I:I,"&gt;=600",veri!I:I,"&lt;700")</f>
        <v>0</v>
      </c>
      <c r="O9" s="123">
        <f>COUNTIFS(veri!G:G,14,veri!I:I,"&gt;=600",veri!I:I,"&lt;700")</f>
        <v>0</v>
      </c>
      <c r="P9" s="123">
        <f>COUNTIFS(veri!G:G,15,veri!I:I,"&gt;=600",veri!I:I,"&lt;700")</f>
        <v>0</v>
      </c>
      <c r="Q9" s="123">
        <f>COUNTIFS(veri!G:G,16,veri!I:I,"&gt;=600",veri!I:I,"&lt;700")</f>
        <v>0</v>
      </c>
      <c r="R9" s="123">
        <f>COUNTIFS(veri!G:G,17,veri!I:I,"&gt;=600",veri!I:I,"&lt;700")</f>
        <v>0</v>
      </c>
      <c r="S9" s="123">
        <f>COUNTIFS(veri!G:G,18,veri!I:I,"&gt;=600",veri!I:I,"&lt;700")</f>
        <v>0</v>
      </c>
      <c r="T9" s="123">
        <f>COUNTIFS(veri!G:G,19,veri!I:I,"&gt;=600",veri!I:I,"&lt;700")</f>
        <v>0</v>
      </c>
      <c r="U9" s="123">
        <f>COUNTIFS(veri!G:G,20,veri!I:I,"&gt;=600",veri!I:I,"&lt;700")</f>
        <v>0</v>
      </c>
      <c r="V9" s="123">
        <f>COUNTIFS(veri!G:G,21,veri!I:I,"&gt;=600",veri!I:I,"&lt;700")</f>
        <v>0</v>
      </c>
      <c r="W9" s="123">
        <f>COUNTIFS(veri!G:G,22,veri!I:I,"&gt;=600",veri!I:I,"&lt;700")</f>
        <v>0</v>
      </c>
      <c r="X9" s="123">
        <f>COUNTIFS(veri!G:G,23,veri!I:I,"&gt;=600",veri!I:I,"&lt;700")</f>
        <v>0</v>
      </c>
      <c r="Y9" s="123">
        <f>COUNTIFS(veri!G:G,24,veri!I:I,"&gt;=600",veri!I:I,"&lt;700")</f>
        <v>0</v>
      </c>
      <c r="Z9" s="123">
        <f>COUNTIFS(veri!G:G,25,veri!I:I,"&gt;=600",veri!I:I,"&lt;700")</f>
        <v>0</v>
      </c>
      <c r="AA9" s="123">
        <f>COUNTIFS(veri!G:G,26,veri!I:I,"&gt;=600",veri!I:I,"&lt;700")</f>
        <v>0</v>
      </c>
      <c r="AB9" s="123">
        <f>COUNTIFS(veri!G:G,51,veri!I:I,"&gt;=600",veri!I:I,"&lt;700")</f>
        <v>0</v>
      </c>
      <c r="AC9" s="123">
        <f>COUNTIFS(veri!G:G,52,veri!I:I,"&gt;=600",veri!I:I,"&lt;700")</f>
        <v>0</v>
      </c>
      <c r="AD9" s="123">
        <f>COUNTIFS(veri!G:G,53,veri!I:I,"&gt;=600",veri!I:I,"&lt;700")</f>
        <v>0</v>
      </c>
      <c r="AE9" s="123">
        <f>COUNTIFS(veri!G:G,54,veri!I:I,"&gt;=600",veri!I:I,"&lt;700")</f>
        <v>0</v>
      </c>
      <c r="AF9" s="123">
        <f>COUNTIFS(veri!G:G,55,veri!I:I,"&gt;=600",veri!I:I,"&lt;700")</f>
        <v>0</v>
      </c>
      <c r="AG9" s="123">
        <f>COUNTIFS(veri!G:G,56,veri!I:I,"&gt;=600",veri!I:I,"&lt;700")</f>
        <v>0</v>
      </c>
      <c r="AH9" s="123">
        <f>COUNTIFS(veri!G:G,57,veri!I:I,"&gt;=600",veri!I:I,"&lt;700")</f>
        <v>0</v>
      </c>
      <c r="AI9" s="124">
        <f>COUNTIFS(veri!G:G,58,veri!I:I,"&gt;=600",veri!I:I,"&lt;700")</f>
        <v>0</v>
      </c>
      <c r="AJ9" s="123">
        <f>COUNTIFS(veri!G:G,59,veri!I:I,"&gt;=600",veri!I:I,"&lt;700")</f>
        <v>0</v>
      </c>
      <c r="AK9" s="123">
        <f>COUNTIFS(veri!G:G,60,veri!I:I,"&gt;=600",veri!I:I,"&lt;700")</f>
        <v>0</v>
      </c>
      <c r="AL9" s="123">
        <f>COUNTIFS(veri!G:G,61,veri!I:I,"&gt;=600",veri!I:I,"&lt;700")</f>
        <v>0</v>
      </c>
      <c r="AM9" s="123">
        <f>COUNTIFS(veri!G:G,62,veri!I:I,"&gt;=600",veri!I:I,"&lt;700")</f>
        <v>0</v>
      </c>
      <c r="AN9" s="123">
        <f>COUNTIFS(veri!G:G,63,veri!I:I,"&gt;=600",veri!I:I,"&lt;700")</f>
        <v>0</v>
      </c>
      <c r="AO9" s="123">
        <f>COUNTIFS(veri!G:G,64,veri!I:I,"&gt;=600",veri!I:I,"&lt;700")</f>
        <v>0</v>
      </c>
      <c r="AP9" s="123">
        <f>COUNTIFS(veri!G:G,65,veri!I:I,"&gt;=600",veri!I:I,"&lt;700")</f>
        <v>0</v>
      </c>
      <c r="AQ9" s="123">
        <f>COUNTIFS(veri!G:G,66,veri!I:I,"&gt;=600",veri!I:I,"&lt;700")</f>
        <v>0</v>
      </c>
      <c r="AR9" s="123">
        <f>COUNTIFS(veri!G:G,67,veri!I:I,"&gt;=600",veri!I:I,"&lt;700")</f>
        <v>0</v>
      </c>
      <c r="AS9" s="123">
        <f>COUNTIFS(veri!G:G,68,veri!I:I,"&gt;=600",veri!I:I,"&lt;700")</f>
        <v>0</v>
      </c>
      <c r="AT9" s="123">
        <f>COUNTIFS(veri!G:G,69,veri!I:I,"&gt;=600",veri!I:I,"&lt;700")</f>
        <v>0</v>
      </c>
      <c r="AU9" s="123">
        <f>COUNTIFS(veri!G:G,70,veri!I:I,"&gt;=600",veri!I:I,"&lt;700")</f>
        <v>0</v>
      </c>
      <c r="AV9" s="123">
        <f>COUNTIFS(veri!G:G,71,veri!I:I,"&gt;=600",veri!I:I,"&lt;700")</f>
        <v>0</v>
      </c>
      <c r="AW9" s="123">
        <f>COUNTIFS(veri!G:G,72,veri!I:I,"&gt;=600",veri!I:I,"&lt;700")</f>
        <v>0</v>
      </c>
      <c r="AX9" s="123">
        <f>COUNTIFS(veri!G:G,73,veri!I:I,"&gt;=600",veri!I:I,"&lt;700")</f>
        <v>0</v>
      </c>
      <c r="AY9" s="123">
        <f>COUNTIFS(veri!G:G,74,veri!I:I,"&gt;=600",veri!I:I,"&lt;700")</f>
        <v>0</v>
      </c>
      <c r="AZ9" s="123">
        <f>COUNTIFS(veri!G:G,75,veri!I:I,"&gt;=600",veri!I:I,"&lt;700")</f>
        <v>0</v>
      </c>
      <c r="BA9" s="123">
        <f>COUNTIFS(veri!G:G,76,veri!I:I,"&gt;=600",veri!I:I,"&lt;700")</f>
        <v>0</v>
      </c>
      <c r="BB9" s="123">
        <f>COUNTIFS(veri!G:G,77,veri!I:I,"&gt;=600",veri!I:I,"&lt;700")</f>
        <v>0</v>
      </c>
      <c r="BC9" s="123">
        <f>COUNTIFS(veri!G:G,78,veri!I:I,"&gt;=600",veri!I:I,"&lt;700")</f>
        <v>0</v>
      </c>
      <c r="BD9" s="123">
        <f>COUNTIFS(veri!G:G,79,veri!I:I,"&gt;=600",veri!I:I,"&lt;700")</f>
        <v>0</v>
      </c>
      <c r="BE9" s="123">
        <f>COUNTIFS(veri!G:G,80,veri!I:I,"&gt;=600",veri!I:I,"&lt;700")</f>
        <v>0</v>
      </c>
      <c r="BF9" s="123">
        <f>COUNTIFS(veri!G:G,81,veri!I:I,"&gt;=600",veri!I:I,"&lt;700")</f>
        <v>0</v>
      </c>
      <c r="BG9" s="123">
        <f>COUNTIFS(veri!G:G,82,veri!I:I,"&gt;=600",veri!I:I,"&lt;700")</f>
        <v>0</v>
      </c>
      <c r="BH9" s="123">
        <f>COUNTIFS(veri!G:G,83,veri!I:I,"&gt;=600",veri!I:I,"&lt;700")</f>
        <v>0</v>
      </c>
      <c r="BI9" s="123">
        <f>COUNTIFS(veri!G:G,84,veri!I:I,"&gt;=600",veri!I:I,"&lt;700")</f>
        <v>0</v>
      </c>
      <c r="BJ9" s="123">
        <f>COUNTIFS(veri!G:G,85,veri!I:I,"&gt;=600",veri!I:I,"&lt;700")</f>
        <v>0</v>
      </c>
      <c r="BK9" s="123">
        <f>COUNTIFS(veri!G:G,86,veri!I:I,"&gt;=600",veri!I:I,"&lt;700")</f>
        <v>0</v>
      </c>
      <c r="BL9" s="123">
        <f>COUNTIFS(veri!G:G,87,veri!I:I,"&gt;=600",veri!I:I,"&lt;700")</f>
        <v>0</v>
      </c>
      <c r="BM9" s="123">
        <f>COUNTIFS(veri!G:G,88,veri!I:I,"&gt;=600",veri!I:I,"&lt;700")</f>
        <v>0</v>
      </c>
      <c r="BN9" s="123">
        <f>COUNTIFS(veri!G:G,89,veri!I:I,"&gt;=600",veri!I:I,"&lt;700")</f>
        <v>0</v>
      </c>
      <c r="BO9" s="123">
        <f>COUNTIFS(veri!G:G,90,veri!I:I,"&gt;=600",veri!I:I,"&lt;700")</f>
        <v>0</v>
      </c>
      <c r="BP9" s="123">
        <f>COUNTIFS(veri!G:G,91,veri!I:I,"&gt;=600",veri!I:I,"&lt;700")</f>
        <v>0</v>
      </c>
      <c r="BQ9" s="123">
        <f>COUNTIFS(veri!G:G,92,veri!I:I,"&gt;=600",veri!I:I,"&lt;700")</f>
        <v>0</v>
      </c>
      <c r="BR9" s="123">
        <f>COUNTIFS(veri!G:G,93,veri!I:I,"&gt;=600",veri!I:I,"&lt;700")</f>
        <v>0</v>
      </c>
      <c r="BS9" s="123">
        <f>COUNTIFS(veri!G:G,94,veri!I:I,"&gt;=600",veri!I:I,"&lt;700")</f>
        <v>0</v>
      </c>
      <c r="BT9" s="123">
        <f>COUNTIFS(veri!G:G,95,veri!I:I,"&gt;=600",veri!I:I,"&lt;700")</f>
        <v>0</v>
      </c>
      <c r="BU9" s="123">
        <f>COUNTIFS(veri!G:G,96,veri!I:I,"&gt;=600",veri!I:I,"&lt;700")</f>
        <v>0</v>
      </c>
      <c r="BV9" s="123">
        <f>COUNTIFS(veri!G:G,97,veri!I:I,"&gt;=600",veri!I:I,"&lt;700")</f>
        <v>0</v>
      </c>
      <c r="BW9" s="123">
        <f>COUNTIFS(veri!G:G,98,veri!I:I,"&gt;=600",veri!I:I,"&lt;700")</f>
        <v>0</v>
      </c>
      <c r="BX9" s="123">
        <f>COUNTIFS(veri!G:G,99,veri!I:I,"&gt;=600",veri!I:I,"&lt;700")</f>
        <v>0</v>
      </c>
      <c r="BY9" s="123">
        <f>COUNTIFS(veri!G:G,100,veri!I:I,"&gt;=600",veri!I:I,"&lt;700")</f>
        <v>0</v>
      </c>
      <c r="BZ9" s="123">
        <f>COUNTIFS(veri!G:G,101,veri!I:I,"&gt;=600",veri!I:I,"&lt;700")</f>
        <v>0</v>
      </c>
      <c r="CA9" s="123">
        <f>COUNTIFS(veri!G:G,102,veri!I:I,"&gt;=600",veri!I:I,"&lt;700")</f>
        <v>0</v>
      </c>
      <c r="CB9" s="123">
        <f>COUNTIFS(veri!G:G,103,veri!I:I,"&gt;=600",veri!I:I,"&lt;700")</f>
        <v>0</v>
      </c>
      <c r="CC9" s="123">
        <f>COUNTIFS(veri!G:G,104,veri!I:I,"&gt;=600",veri!I:I,"&lt;700")</f>
        <v>0</v>
      </c>
      <c r="CD9" s="123">
        <f>COUNTIFS(veri!G:G,105,veri!I:I,"&gt;=600",veri!I:I,"&lt;700")</f>
        <v>0</v>
      </c>
      <c r="CE9" s="121">
        <f t="shared" si="0"/>
        <v>0</v>
      </c>
      <c r="CF9" s="121">
        <f t="shared" si="1"/>
        <v>0</v>
      </c>
      <c r="CG9" s="121">
        <f t="shared" si="2"/>
        <v>0</v>
      </c>
      <c r="CH9" s="129">
        <f>IFERROR(CG9/CG24*100,0)</f>
        <v>0</v>
      </c>
      <c r="CI9" s="14"/>
      <c r="CJ9" s="14"/>
      <c r="CK9" s="14"/>
    </row>
    <row r="10" spans="1:89" ht="13.5" customHeight="1" x14ac:dyDescent="0.15">
      <c r="A10" s="120" t="s">
        <v>680</v>
      </c>
      <c r="B10" s="116">
        <f>COUNTIFS(veri!G:G,1,veri!I:I,"&gt;=700",veri!I:I,"&lt;800")</f>
        <v>0</v>
      </c>
      <c r="C10" s="116">
        <f>COUNTIFS(veri!G:G,2,veri!I:I,"&gt;=700",veri!I:I,"&lt;800")</f>
        <v>0</v>
      </c>
      <c r="D10" s="116">
        <f>COUNTIFS(veri!G:G,3,veri!I:I,"&gt;=700",veri!I:I,"&lt;800")</f>
        <v>0</v>
      </c>
      <c r="E10" s="116">
        <f>COUNTIFS(veri!G:G,4,veri!I:I,"&gt;=700",veri!I:I,"&lt;800")</f>
        <v>0</v>
      </c>
      <c r="F10" s="116">
        <f>COUNTIFS(veri!G:G,5,veri!I:I,"&gt;=700",veri!I:I,"&lt;800")</f>
        <v>0</v>
      </c>
      <c r="G10" s="116">
        <f>COUNTIFS(veri!G:G,6,veri!I:I,"&gt;=700",veri!I:I,"&lt;800")</f>
        <v>0</v>
      </c>
      <c r="H10" s="116">
        <f>COUNTIFS(veri!G:G,7,veri!I:I,"&gt;=700",veri!I:I,"&lt;800")</f>
        <v>0</v>
      </c>
      <c r="I10" s="116">
        <f>COUNTIFS(veri!G:G,8,veri!I:I,"&gt;=700",veri!I:I,"&lt;800")</f>
        <v>0</v>
      </c>
      <c r="J10" s="116">
        <f>COUNTIFS(veri!G:G,9,veri!I:I,"&gt;=700",veri!I:I,"&lt;800")</f>
        <v>0</v>
      </c>
      <c r="K10" s="116">
        <f>COUNTIFS(veri!G:G,10,veri!I:I,"&gt;=700",veri!I:I,"&lt;800")</f>
        <v>0</v>
      </c>
      <c r="L10" s="116">
        <f>COUNTIFS(veri!G:G,11,veri!I:I,"&gt;=700",veri!I:I,"&lt;800")</f>
        <v>0</v>
      </c>
      <c r="M10" s="116">
        <f>COUNTIFS(veri!G:G,12,veri!I:I,"&gt;=700",veri!I:I,"&lt;800")</f>
        <v>0</v>
      </c>
      <c r="N10" s="116">
        <f>COUNTIFS(veri!G:G,13,veri!I:I,"&gt;=700",veri!I:I,"&lt;800")</f>
        <v>0</v>
      </c>
      <c r="O10" s="116">
        <f>COUNTIFS(veri!G:G,14,veri!I:I,"&gt;=700",veri!I:I,"&lt;800")</f>
        <v>0</v>
      </c>
      <c r="P10" s="116">
        <f>COUNTIFS(veri!G:G,15,veri!I:I,"&gt;=700",veri!I:I,"&lt;800")</f>
        <v>0</v>
      </c>
      <c r="Q10" s="116">
        <f>COUNTIFS(veri!G:G,16,veri!I:I,"&gt;=700",veri!I:I,"&lt;800")</f>
        <v>0</v>
      </c>
      <c r="R10" s="116">
        <f>COUNTIFS(veri!G:G,17,veri!I:I,"&gt;=700",veri!I:I,"&lt;800")</f>
        <v>0</v>
      </c>
      <c r="S10" s="116">
        <f>COUNTIFS(veri!G:G,18,veri!I:I,"&gt;=700",veri!I:I,"&lt;800")</f>
        <v>0</v>
      </c>
      <c r="T10" s="116">
        <f>COUNTIFS(veri!G:G,19,veri!I:I,"&gt;=700",veri!I:I,"&lt;800")</f>
        <v>0</v>
      </c>
      <c r="U10" s="116">
        <f>COUNTIFS(veri!G:G,20,veri!I:I,"&gt;=700",veri!I:I,"&lt;800")</f>
        <v>0</v>
      </c>
      <c r="V10" s="116">
        <f>COUNTIFS(veri!G:G,21,veri!I:I,"&gt;=700",veri!I:I,"&lt;800")</f>
        <v>0</v>
      </c>
      <c r="W10" s="116">
        <f>COUNTIFS(veri!G:G,22,veri!I:I,"&gt;=700",veri!I:I,"&lt;800")</f>
        <v>0</v>
      </c>
      <c r="X10" s="116">
        <f>COUNTIFS(veri!G:G,23,veri!I:I,"&gt;=700",veri!I:I,"&lt;800")</f>
        <v>0</v>
      </c>
      <c r="Y10" s="116">
        <f>COUNTIFS(veri!G:G,24,veri!I:I,"&gt;=700",veri!I:I,"&lt;800")</f>
        <v>0</v>
      </c>
      <c r="Z10" s="116">
        <f>COUNTIFS(veri!G:G,25,veri!I:I,"&gt;=700",veri!I:I,"&lt;800")</f>
        <v>0</v>
      </c>
      <c r="AA10" s="116">
        <f>COUNTIFS(veri!G:G,26,veri!I:I,"&gt;=700",veri!I:I,"&lt;800")</f>
        <v>0</v>
      </c>
      <c r="AB10" s="116">
        <f>COUNTIFS(veri!G:G,51,veri!I:I,"&gt;=700",veri!I:I,"&lt;800")</f>
        <v>0</v>
      </c>
      <c r="AC10" s="116">
        <f>COUNTIFS(veri!G:G,52,veri!I:I,"&gt;=700",veri!I:I,"&lt;800")</f>
        <v>0</v>
      </c>
      <c r="AD10" s="116">
        <f>COUNTIFS(veri!G:G,53,veri!I:I,"&gt;=700",veri!I:I,"&lt;800")</f>
        <v>0</v>
      </c>
      <c r="AE10" s="116">
        <f>COUNTIFS(veri!G:G,54,veri!I:I,"&gt;=700",veri!I:I,"&lt;800")</f>
        <v>0</v>
      </c>
      <c r="AF10" s="116">
        <f>COUNTIFS(veri!G:G,55,veri!I:I,"&gt;=700",veri!I:I,"&lt;800")</f>
        <v>0</v>
      </c>
      <c r="AG10" s="116">
        <f>COUNTIFS(veri!G:G,56,veri!I:I,"&gt;=700",veri!I:I,"&lt;800")</f>
        <v>0</v>
      </c>
      <c r="AH10" s="116">
        <f>COUNTIFS(veri!G:G,57,veri!I:I,"&gt;=700",veri!I:I,"&lt;800")</f>
        <v>0</v>
      </c>
      <c r="AI10" s="127">
        <f>COUNTIFS(veri!G:G,58,veri!I:I,"&gt;=700",veri!I:I,"&lt;800")</f>
        <v>0</v>
      </c>
      <c r="AJ10" s="116">
        <f>COUNTIFS(veri!G:G,59,veri!I:I,"&gt;=700",veri!I:I,"&lt;800")</f>
        <v>0</v>
      </c>
      <c r="AK10" s="116">
        <f>COUNTIFS(veri!G:G,60,veri!I:I,"&gt;=700",veri!I:I,"&lt;800")</f>
        <v>0</v>
      </c>
      <c r="AL10" s="116">
        <f>COUNTIFS(veri!G:G,61,veri!I:I,"&gt;=700",veri!I:I,"&lt;800")</f>
        <v>0</v>
      </c>
      <c r="AM10" s="116">
        <f>COUNTIFS(veri!G:G,62,veri!I:I,"&gt;=700",veri!I:I,"&lt;800")</f>
        <v>0</v>
      </c>
      <c r="AN10" s="116">
        <f>COUNTIFS(veri!G:G,63,veri!I:I,"&gt;=700",veri!I:I,"&lt;800")</f>
        <v>0</v>
      </c>
      <c r="AO10" s="116">
        <f>COUNTIFS(veri!G:G,64,veri!I:I,"&gt;=700",veri!I:I,"&lt;800")</f>
        <v>0</v>
      </c>
      <c r="AP10" s="116">
        <f>COUNTIFS(veri!G:G,65,veri!I:I,"&gt;=700",veri!I:I,"&lt;800")</f>
        <v>0</v>
      </c>
      <c r="AQ10" s="116">
        <f>COUNTIFS(veri!G:G,66,veri!I:I,"&gt;=700",veri!I:I,"&lt;800")</f>
        <v>0</v>
      </c>
      <c r="AR10" s="116">
        <f>COUNTIFS(veri!G:G,67,veri!I:I,"&gt;=700",veri!I:I,"&lt;800")</f>
        <v>0</v>
      </c>
      <c r="AS10" s="116">
        <f>COUNTIFS(veri!G:G,68,veri!I:I,"&gt;=700",veri!I:I,"&lt;800")</f>
        <v>0</v>
      </c>
      <c r="AT10" s="116">
        <f>COUNTIFS(veri!G:G,69,veri!I:I,"&gt;=700",veri!I:I,"&lt;800")</f>
        <v>0</v>
      </c>
      <c r="AU10" s="116">
        <f>COUNTIFS(veri!G:G,70,veri!I:I,"&gt;=700",veri!I:I,"&lt;800")</f>
        <v>0</v>
      </c>
      <c r="AV10" s="116">
        <f>COUNTIFS(veri!G:G,71,veri!I:I,"&gt;=700",veri!I:I,"&lt;800")</f>
        <v>0</v>
      </c>
      <c r="AW10" s="116">
        <f>COUNTIFS(veri!G:G,72,veri!I:I,"&gt;=700",veri!I:I,"&lt;800")</f>
        <v>0</v>
      </c>
      <c r="AX10" s="116">
        <f>COUNTIFS(veri!G:G,73,veri!I:I,"&gt;=700",veri!I:I,"&lt;800")</f>
        <v>0</v>
      </c>
      <c r="AY10" s="116">
        <f>COUNTIFS(veri!G:G,74,veri!I:I,"&gt;=700",veri!I:I,"&lt;800")</f>
        <v>0</v>
      </c>
      <c r="AZ10" s="116">
        <f>COUNTIFS(veri!G:G,75,veri!I:I,"&gt;=700",veri!I:I,"&lt;800")</f>
        <v>0</v>
      </c>
      <c r="BA10" s="116">
        <f>COUNTIFS(veri!G:G,76,veri!I:I,"&gt;=700",veri!I:I,"&lt;800")</f>
        <v>0</v>
      </c>
      <c r="BB10" s="116">
        <f>COUNTIFS(veri!G:G,77,veri!I:I,"&gt;=700",veri!I:I,"&lt;800")</f>
        <v>0</v>
      </c>
      <c r="BC10" s="116">
        <f>COUNTIFS(veri!G:G,78,veri!I:I,"&gt;=700",veri!I:I,"&lt;800")</f>
        <v>0</v>
      </c>
      <c r="BD10" s="116">
        <f>COUNTIFS(veri!G:G,79,veri!I:I,"&gt;=700",veri!I:I,"&lt;800")</f>
        <v>0</v>
      </c>
      <c r="BE10" s="116">
        <f>COUNTIFS(veri!G:G,80,veri!I:I,"&gt;=700",veri!I:I,"&lt;800")</f>
        <v>0</v>
      </c>
      <c r="BF10" s="116">
        <f>COUNTIFS(veri!G:G,81,veri!I:I,"&gt;=700",veri!I:I,"&lt;800")</f>
        <v>0</v>
      </c>
      <c r="BG10" s="116">
        <f>COUNTIFS(veri!G:G,82,veri!I:I,"&gt;=700",veri!I:I,"&lt;800")</f>
        <v>0</v>
      </c>
      <c r="BH10" s="116">
        <f>COUNTIFS(veri!G:G,83,veri!I:I,"&gt;=700",veri!I:I,"&lt;800")</f>
        <v>0</v>
      </c>
      <c r="BI10" s="116">
        <f>COUNTIFS(veri!G:G,84,veri!I:I,"&gt;=700",veri!I:I,"&lt;800")</f>
        <v>0</v>
      </c>
      <c r="BJ10" s="116">
        <f>COUNTIFS(veri!G:G,85,veri!I:I,"&gt;=700",veri!I:I,"&lt;800")</f>
        <v>0</v>
      </c>
      <c r="BK10" s="116">
        <f>COUNTIFS(veri!G:G,86,veri!I:I,"&gt;=700",veri!I:I,"&lt;800")</f>
        <v>0</v>
      </c>
      <c r="BL10" s="116">
        <f>COUNTIFS(veri!G:G,87,veri!I:I,"&gt;=700",veri!I:I,"&lt;800")</f>
        <v>0</v>
      </c>
      <c r="BM10" s="116">
        <f>COUNTIFS(veri!G:G,88,veri!I:I,"&gt;=700",veri!I:I,"&lt;800")</f>
        <v>0</v>
      </c>
      <c r="BN10" s="116">
        <f>COUNTIFS(veri!G:G,89,veri!I:I,"&gt;=700",veri!I:I,"&lt;800")</f>
        <v>0</v>
      </c>
      <c r="BO10" s="116">
        <f>COUNTIFS(veri!G:G,90,veri!I:I,"&gt;=700",veri!I:I,"&lt;800")</f>
        <v>0</v>
      </c>
      <c r="BP10" s="116">
        <f>COUNTIFS(veri!G:G,91,veri!I:I,"&gt;=700",veri!I:I,"&lt;800")</f>
        <v>0</v>
      </c>
      <c r="BQ10" s="116">
        <f>COUNTIFS(veri!G:G,92,veri!I:I,"&gt;=700",veri!I:I,"&lt;800")</f>
        <v>0</v>
      </c>
      <c r="BR10" s="116">
        <f>COUNTIFS(veri!G:G,93,veri!I:I,"&gt;=700",veri!I:I,"&lt;800")</f>
        <v>0</v>
      </c>
      <c r="BS10" s="116">
        <f>COUNTIFS(veri!G:G,94,veri!I:I,"&gt;=700",veri!I:I,"&lt;800")</f>
        <v>0</v>
      </c>
      <c r="BT10" s="116">
        <f>COUNTIFS(veri!G:G,95,veri!I:I,"&gt;=700",veri!I:I,"&lt;800")</f>
        <v>0</v>
      </c>
      <c r="BU10" s="116">
        <f>COUNTIFS(veri!G:G,96,veri!I:I,"&gt;=700",veri!I:I,"&lt;800")</f>
        <v>0</v>
      </c>
      <c r="BV10" s="116">
        <f>COUNTIFS(veri!G:G,97,veri!I:I,"&gt;=700",veri!I:I,"&lt;800")</f>
        <v>0</v>
      </c>
      <c r="BW10" s="116">
        <f>COUNTIFS(veri!G:G,98,veri!I:I,"&gt;=700",veri!I:I,"&lt;800")</f>
        <v>0</v>
      </c>
      <c r="BX10" s="116">
        <f>COUNTIFS(veri!G:G,99,veri!I:I,"&gt;=700",veri!I:I,"&lt;800")</f>
        <v>0</v>
      </c>
      <c r="BY10" s="116">
        <f>COUNTIFS(veri!G:G,100,veri!I:I,"&gt;=700",veri!I:I,"&lt;800")</f>
        <v>0</v>
      </c>
      <c r="BZ10" s="116">
        <f>COUNTIFS(veri!G:G,101,veri!I:I,"&gt;=700",veri!I:I,"&lt;800")</f>
        <v>0</v>
      </c>
      <c r="CA10" s="116">
        <f>COUNTIFS(veri!G:G,102,veri!I:I,"&gt;=700",veri!I:I,"&lt;800")</f>
        <v>0</v>
      </c>
      <c r="CB10" s="116">
        <f>COUNTIFS(veri!G:G,103,veri!I:I,"&gt;=700",veri!I:I,"&lt;800")</f>
        <v>0</v>
      </c>
      <c r="CC10" s="116">
        <f>COUNTIFS(veri!G:G,104,veri!I:I,"&gt;=700",veri!I:I,"&lt;800")</f>
        <v>0</v>
      </c>
      <c r="CD10" s="116">
        <f>COUNTIFS(veri!G:G,105,veri!I:I,"&gt;=700",veri!I:I,"&lt;800")</f>
        <v>0</v>
      </c>
      <c r="CE10" s="121">
        <f t="shared" si="0"/>
        <v>0</v>
      </c>
      <c r="CF10" s="121">
        <f t="shared" si="1"/>
        <v>0</v>
      </c>
      <c r="CG10" s="121">
        <f t="shared" si="2"/>
        <v>0</v>
      </c>
      <c r="CH10" s="129">
        <f>IFERROR(CG10/CG24*100,0)</f>
        <v>0</v>
      </c>
      <c r="CI10" s="14"/>
      <c r="CJ10" s="14"/>
      <c r="CK10" s="14"/>
    </row>
    <row r="11" spans="1:89" ht="13.5" customHeight="1" x14ac:dyDescent="0.15">
      <c r="A11" s="122" t="s">
        <v>681</v>
      </c>
      <c r="B11" s="123">
        <f>COUNTIFS(veri!G:G,1,veri!I:I,"&gt;=800",veri!I:I,"&lt;900")</f>
        <v>0</v>
      </c>
      <c r="C11" s="123">
        <f>COUNTIFS(veri!G:G,2,veri!I:I,"&gt;=800",veri!I:I,"&lt;900")</f>
        <v>0</v>
      </c>
      <c r="D11" s="123">
        <f>COUNTIFS(veri!G:G,3,veri!I:I,"&gt;=800",veri!I:I,"&lt;900")</f>
        <v>0</v>
      </c>
      <c r="E11" s="123">
        <f>COUNTIFS(veri!G:G,4,veri!I:I,"&gt;=800",veri!I:I,"&lt;900")</f>
        <v>0</v>
      </c>
      <c r="F11" s="123">
        <f>COUNTIFS(veri!G:G,5,veri!I:I,"&gt;=800",veri!I:I,"&lt;900")</f>
        <v>0</v>
      </c>
      <c r="G11" s="123">
        <f>COUNTIFS(veri!G:G,6,veri!I:I,"&gt;=800",veri!I:I,"&lt;900")</f>
        <v>0</v>
      </c>
      <c r="H11" s="123">
        <f>COUNTIFS(veri!G:G,7,veri!I:I,"&gt;=800",veri!I:I,"&lt;900")</f>
        <v>0</v>
      </c>
      <c r="I11" s="123">
        <f>COUNTIFS(veri!G:G,8,veri!I:I,"&gt;=800",veri!I:I,"&lt;900")</f>
        <v>0</v>
      </c>
      <c r="J11" s="123">
        <f>COUNTIFS(veri!G:G,9,veri!I:I,"&gt;=800",veri!I:I,"&lt;900")</f>
        <v>0</v>
      </c>
      <c r="K11" s="123">
        <f>COUNTIFS(veri!G:G,10,veri!I:I,"&gt;=800",veri!I:I,"&lt;900")</f>
        <v>0</v>
      </c>
      <c r="L11" s="123">
        <f>COUNTIFS(veri!G:G,11,veri!I:I,"&gt;=800",veri!I:I,"&lt;900")</f>
        <v>0</v>
      </c>
      <c r="M11" s="123">
        <f>COUNTIFS(veri!G:G,12,veri!I:I,"&gt;=800",veri!I:I,"&lt;900")</f>
        <v>0</v>
      </c>
      <c r="N11" s="123">
        <f>COUNTIFS(veri!G:G,13,veri!I:I,"&gt;=800",veri!I:I,"&lt;900")</f>
        <v>0</v>
      </c>
      <c r="O11" s="123">
        <f>COUNTIFS(veri!G:G,14,veri!I:I,"&gt;=800",veri!I:I,"&lt;900")</f>
        <v>0</v>
      </c>
      <c r="P11" s="123">
        <f>COUNTIFS(veri!G:G,15,veri!I:I,"&gt;=800",veri!I:I,"&lt;900")</f>
        <v>0</v>
      </c>
      <c r="Q11" s="123">
        <f>COUNTIFS(veri!G:G,16,veri!I:I,"&gt;=800",veri!I:I,"&lt;900")</f>
        <v>0</v>
      </c>
      <c r="R11" s="123">
        <f>COUNTIFS(veri!G:G,17,veri!I:I,"&gt;=800",veri!I:I,"&lt;900")</f>
        <v>0</v>
      </c>
      <c r="S11" s="123">
        <f>COUNTIFS(veri!G:G,18,veri!I:I,"&gt;=800",veri!I:I,"&lt;900")</f>
        <v>0</v>
      </c>
      <c r="T11" s="123">
        <f>COUNTIFS(veri!G:G,19,veri!I:I,"&gt;=800",veri!I:I,"&lt;900")</f>
        <v>0</v>
      </c>
      <c r="U11" s="123">
        <f>COUNTIFS(veri!G:G,20,veri!I:I,"&gt;=800",veri!I:I,"&lt;900")</f>
        <v>0</v>
      </c>
      <c r="V11" s="123">
        <f>COUNTIFS(veri!G:G,21,veri!I:I,"&gt;=800",veri!I:I,"&lt;900")</f>
        <v>0</v>
      </c>
      <c r="W11" s="123">
        <f>COUNTIFS(veri!G:G,22,veri!I:I,"&gt;=800",veri!I:I,"&lt;900")</f>
        <v>0</v>
      </c>
      <c r="X11" s="123">
        <f>COUNTIFS(veri!G:G,23,veri!I:I,"&gt;=800",veri!I:I,"&lt;900")</f>
        <v>0</v>
      </c>
      <c r="Y11" s="123">
        <f>COUNTIFS(veri!G:G,24,veri!I:I,"&gt;=800",veri!I:I,"&lt;900")</f>
        <v>0</v>
      </c>
      <c r="Z11" s="123">
        <f>COUNTIFS(veri!G:G,25,veri!I:I,"&gt;=800",veri!I:I,"&lt;900")</f>
        <v>0</v>
      </c>
      <c r="AA11" s="123">
        <f>COUNTIFS(veri!G:G,26,veri!I:I,"&gt;=800",veri!I:I,"&lt;900")</f>
        <v>0</v>
      </c>
      <c r="AB11" s="123">
        <f>COUNTIFS(veri!G:G,51,veri!I:I,"&gt;=800",veri!I:I,"&lt;900")</f>
        <v>0</v>
      </c>
      <c r="AC11" s="123">
        <f>COUNTIFS(veri!G:G,52,veri!I:I,"&gt;=800",veri!I:I,"&lt;900")</f>
        <v>0</v>
      </c>
      <c r="AD11" s="123">
        <f>COUNTIFS(veri!G:G,53,veri!I:I,"&gt;=800",veri!I:I,"&lt;900")</f>
        <v>0</v>
      </c>
      <c r="AE11" s="123">
        <f>COUNTIFS(veri!G:G,54,veri!I:I,"&gt;=800",veri!I:I,"&lt;900")</f>
        <v>0</v>
      </c>
      <c r="AF11" s="123">
        <f>COUNTIFS(veri!G:G,55,veri!I:I,"&gt;=800",veri!I:I,"&lt;900")</f>
        <v>0</v>
      </c>
      <c r="AG11" s="123">
        <f>COUNTIFS(veri!G:G,56,veri!I:I,"&gt;=800",veri!I:I,"&lt;900")</f>
        <v>0</v>
      </c>
      <c r="AH11" s="123">
        <f>COUNTIFS(veri!G:G,57,veri!I:I,"&gt;=800",veri!I:I,"&lt;900")</f>
        <v>0</v>
      </c>
      <c r="AI11" s="124">
        <f>COUNTIFS(veri!G:G,58,veri!I:I,"&gt;=800",veri!I:I,"&lt;900")</f>
        <v>0</v>
      </c>
      <c r="AJ11" s="123">
        <f>COUNTIFS(veri!G:G,59,veri!I:I,"&gt;=800",veri!I:I,"&lt;900")</f>
        <v>0</v>
      </c>
      <c r="AK11" s="123">
        <f>COUNTIFS(veri!G:G,60,veri!I:I,"&gt;=800",veri!I:I,"&lt;900")</f>
        <v>0</v>
      </c>
      <c r="AL11" s="123">
        <f>COUNTIFS(veri!G:G,61,veri!I:I,"&gt;=800",veri!I:I,"&lt;900")</f>
        <v>0</v>
      </c>
      <c r="AM11" s="123">
        <f>COUNTIFS(veri!G:G,62,veri!I:I,"&gt;=800",veri!I:I,"&lt;900")</f>
        <v>0</v>
      </c>
      <c r="AN11" s="123">
        <f>COUNTIFS(veri!G:G,63,veri!I:I,"&gt;=800",veri!I:I,"&lt;900")</f>
        <v>0</v>
      </c>
      <c r="AO11" s="123">
        <f>COUNTIFS(veri!G:G,64,veri!I:I,"&gt;=800",veri!I:I,"&lt;900")</f>
        <v>0</v>
      </c>
      <c r="AP11" s="123">
        <f>COUNTIFS(veri!G:G,65,veri!I:I,"&gt;=800",veri!I:I,"&lt;900")</f>
        <v>0</v>
      </c>
      <c r="AQ11" s="123">
        <f>COUNTIFS(veri!G:G,66,veri!I:I,"&gt;=800",veri!I:I,"&lt;900")</f>
        <v>0</v>
      </c>
      <c r="AR11" s="123">
        <f>COUNTIFS(veri!G:G,67,veri!I:I,"&gt;=800",veri!I:I,"&lt;900")</f>
        <v>0</v>
      </c>
      <c r="AS11" s="123">
        <f>COUNTIFS(veri!G:G,68,veri!I:I,"&gt;=800",veri!I:I,"&lt;900")</f>
        <v>0</v>
      </c>
      <c r="AT11" s="123">
        <f>COUNTIFS(veri!G:G,69,veri!I:I,"&gt;=800",veri!I:I,"&lt;900")</f>
        <v>0</v>
      </c>
      <c r="AU11" s="123">
        <f>COUNTIFS(veri!G:G,70,veri!I:I,"&gt;=800",veri!I:I,"&lt;900")</f>
        <v>0</v>
      </c>
      <c r="AV11" s="123">
        <f>COUNTIFS(veri!G:G,71,veri!I:I,"&gt;=800",veri!I:I,"&lt;900")</f>
        <v>0</v>
      </c>
      <c r="AW11" s="123">
        <f>COUNTIFS(veri!G:G,72,veri!I:I,"&gt;=800",veri!I:I,"&lt;900")</f>
        <v>0</v>
      </c>
      <c r="AX11" s="123">
        <f>COUNTIFS(veri!G:G,73,veri!I:I,"&gt;=800",veri!I:I,"&lt;900")</f>
        <v>0</v>
      </c>
      <c r="AY11" s="123">
        <f>COUNTIFS(veri!G:G,74,veri!I:I,"&gt;=800",veri!I:I,"&lt;900")</f>
        <v>0</v>
      </c>
      <c r="AZ11" s="123">
        <f>COUNTIFS(veri!G:G,75,veri!I:I,"&gt;=800",veri!I:I,"&lt;900")</f>
        <v>0</v>
      </c>
      <c r="BA11" s="123">
        <f>COUNTIFS(veri!G:G,76,veri!I:I,"&gt;=800",veri!I:I,"&lt;900")</f>
        <v>0</v>
      </c>
      <c r="BB11" s="123">
        <f>COUNTIFS(veri!G:G,77,veri!I:I,"&gt;=800",veri!I:I,"&lt;900")</f>
        <v>0</v>
      </c>
      <c r="BC11" s="123">
        <f>COUNTIFS(veri!G:G,78,veri!I:I,"&gt;=800",veri!I:I,"&lt;900")</f>
        <v>0</v>
      </c>
      <c r="BD11" s="123">
        <f>COUNTIFS(veri!G:G,79,veri!I:I,"&gt;=800",veri!I:I,"&lt;900")</f>
        <v>0</v>
      </c>
      <c r="BE11" s="123">
        <f>COUNTIFS(veri!G:G,80,veri!I:I,"&gt;=800",veri!I:I,"&lt;900")</f>
        <v>0</v>
      </c>
      <c r="BF11" s="123">
        <f>COUNTIFS(veri!G:G,81,veri!I:I,"&gt;=800",veri!I:I,"&lt;900")</f>
        <v>0</v>
      </c>
      <c r="BG11" s="123">
        <f>COUNTIFS(veri!G:G,82,veri!I:I,"&gt;=800",veri!I:I,"&lt;900")</f>
        <v>0</v>
      </c>
      <c r="BH11" s="123">
        <f>COUNTIFS(veri!G:G,83,veri!I:I,"&gt;=800",veri!I:I,"&lt;900")</f>
        <v>0</v>
      </c>
      <c r="BI11" s="123">
        <f>COUNTIFS(veri!G:G,84,veri!I:I,"&gt;=800",veri!I:I,"&lt;900")</f>
        <v>0</v>
      </c>
      <c r="BJ11" s="123">
        <f>COUNTIFS(veri!G:G,85,veri!I:I,"&gt;=800",veri!I:I,"&lt;900")</f>
        <v>0</v>
      </c>
      <c r="BK11" s="123">
        <f>COUNTIFS(veri!G:G,86,veri!I:I,"&gt;=800",veri!I:I,"&lt;900")</f>
        <v>0</v>
      </c>
      <c r="BL11" s="123">
        <f>COUNTIFS(veri!G:G,87,veri!I:I,"&gt;=800",veri!I:I,"&lt;900")</f>
        <v>0</v>
      </c>
      <c r="BM11" s="123">
        <f>COUNTIFS(veri!G:G,88,veri!I:I,"&gt;=800",veri!I:I,"&lt;900")</f>
        <v>0</v>
      </c>
      <c r="BN11" s="123">
        <f>COUNTIFS(veri!G:G,89,veri!I:I,"&gt;=800",veri!I:I,"&lt;900")</f>
        <v>0</v>
      </c>
      <c r="BO11" s="123">
        <f>COUNTIFS(veri!G:G,90,veri!I:I,"&gt;=800",veri!I:I,"&lt;900")</f>
        <v>0</v>
      </c>
      <c r="BP11" s="123">
        <f>COUNTIFS(veri!G:G,91,veri!I:I,"&gt;=800",veri!I:I,"&lt;900")</f>
        <v>0</v>
      </c>
      <c r="BQ11" s="123">
        <f>COUNTIFS(veri!G:G,92,veri!I:I,"&gt;=800",veri!I:I,"&lt;900")</f>
        <v>0</v>
      </c>
      <c r="BR11" s="123">
        <f>COUNTIFS(veri!G:G,93,veri!I:I,"&gt;=800",veri!I:I,"&lt;900")</f>
        <v>0</v>
      </c>
      <c r="BS11" s="123">
        <f>COUNTIFS(veri!G:G,94,veri!I:I,"&gt;=800",veri!I:I,"&lt;900")</f>
        <v>0</v>
      </c>
      <c r="BT11" s="123">
        <f>COUNTIFS(veri!G:G,95,veri!I:I,"&gt;=800",veri!I:I,"&lt;900")</f>
        <v>0</v>
      </c>
      <c r="BU11" s="123">
        <f>COUNTIFS(veri!G:G,96,veri!I:I,"&gt;=800",veri!I:I,"&lt;900")</f>
        <v>0</v>
      </c>
      <c r="BV11" s="123">
        <f>COUNTIFS(veri!G:G,97,veri!I:I,"&gt;=800",veri!I:I,"&lt;900")</f>
        <v>0</v>
      </c>
      <c r="BW11" s="123">
        <f>COUNTIFS(veri!G:G,98,veri!I:I,"&gt;=800",veri!I:I,"&lt;900")</f>
        <v>0</v>
      </c>
      <c r="BX11" s="123">
        <f>COUNTIFS(veri!G:G,99,veri!I:I,"&gt;=800",veri!I:I,"&lt;900")</f>
        <v>0</v>
      </c>
      <c r="BY11" s="123">
        <f>COUNTIFS(veri!G:G,100,veri!I:I,"&gt;=800",veri!I:I,"&lt;900")</f>
        <v>0</v>
      </c>
      <c r="BZ11" s="123">
        <f>COUNTIFS(veri!G:G,101,veri!I:I,"&gt;=800",veri!I:I,"&lt;900")</f>
        <v>0</v>
      </c>
      <c r="CA11" s="123">
        <f>COUNTIFS(veri!G:G,102,veri!I:I,"&gt;=800",veri!I:I,"&lt;900")</f>
        <v>0</v>
      </c>
      <c r="CB11" s="123">
        <f>COUNTIFS(veri!G:G,103,veri!I:I,"&gt;=800",veri!I:I,"&lt;900")</f>
        <v>0</v>
      </c>
      <c r="CC11" s="123">
        <f>COUNTIFS(veri!G:G,104,veri!I:I,"&gt;=800",veri!I:I,"&lt;900")</f>
        <v>0</v>
      </c>
      <c r="CD11" s="123">
        <f>COUNTIFS(veri!G:G,105,veri!I:I,"&gt;=800",veri!I:I,"&lt;900")</f>
        <v>0</v>
      </c>
      <c r="CE11" s="121">
        <f t="shared" si="0"/>
        <v>0</v>
      </c>
      <c r="CF11" s="121">
        <f t="shared" si="1"/>
        <v>0</v>
      </c>
      <c r="CG11" s="121">
        <f t="shared" si="2"/>
        <v>0</v>
      </c>
      <c r="CH11" s="129">
        <f>IFERROR(CG11/CG24*100,0)</f>
        <v>0</v>
      </c>
      <c r="CI11" s="14"/>
      <c r="CJ11" s="14"/>
      <c r="CK11" s="14"/>
    </row>
    <row r="12" spans="1:89" ht="13.5" customHeight="1" x14ac:dyDescent="0.15">
      <c r="A12" s="120" t="s">
        <v>682</v>
      </c>
      <c r="B12" s="116">
        <f>COUNTIFS(veri!G:G,1,veri!I:I,"&gt;=900",veri!I:I,"&lt;1000")</f>
        <v>0</v>
      </c>
      <c r="C12" s="116">
        <f>COUNTIFS(veri!G:G,2,veri!I:I,"&gt;=900",veri!I:I,"&lt;1000")</f>
        <v>0</v>
      </c>
      <c r="D12" s="116">
        <f>COUNTIFS(veri!G:G,3,veri!I:I,"&gt;=900",veri!I:I,"&lt;1000")</f>
        <v>0</v>
      </c>
      <c r="E12" s="116">
        <f>COUNTIFS(veri!G:G,4,veri!I:I,"&gt;=900",veri!I:I,"&lt;1000")</f>
        <v>0</v>
      </c>
      <c r="F12" s="116">
        <f>COUNTIFS(veri!G:G,5,veri!I:I,"&gt;=900",veri!I:I,"&lt;1000")</f>
        <v>0</v>
      </c>
      <c r="G12" s="116">
        <f>COUNTIFS(veri!G:G,6,veri!I:I,"&gt;=900",veri!I:I,"&lt;1000")</f>
        <v>0</v>
      </c>
      <c r="H12" s="116">
        <f>COUNTIFS(veri!G:G,7,veri!I:I,"&gt;=900",veri!I:I,"&lt;1000")</f>
        <v>0</v>
      </c>
      <c r="I12" s="116">
        <f>COUNTIFS(veri!G:G,8,veri!I:I,"&gt;=900",veri!I:I,"&lt;1000")</f>
        <v>0</v>
      </c>
      <c r="J12" s="116">
        <f>COUNTIFS(veri!G:G,9,veri!I:I,"&gt;=900",veri!I:I,"&lt;1000")</f>
        <v>0</v>
      </c>
      <c r="K12" s="116">
        <f>COUNTIFS(veri!G:G,10,veri!I:I,"&gt;=900",veri!I:I,"&lt;1000")</f>
        <v>0</v>
      </c>
      <c r="L12" s="116">
        <f>COUNTIFS(veri!G:G,11,veri!I:I,"&gt;=900",veri!I:I,"&lt;1000")</f>
        <v>0</v>
      </c>
      <c r="M12" s="116">
        <f>COUNTIFS(veri!G:G,12,veri!I:I,"&gt;=900",veri!I:I,"&lt;1000")</f>
        <v>0</v>
      </c>
      <c r="N12" s="116">
        <f>COUNTIFS(veri!G:G,13,veri!I:I,"&gt;=900",veri!I:I,"&lt;1000")</f>
        <v>0</v>
      </c>
      <c r="O12" s="116">
        <f>COUNTIFS(veri!G:G,14,veri!I:I,"&gt;=900",veri!I:I,"&lt;1000")</f>
        <v>0</v>
      </c>
      <c r="P12" s="116">
        <f>COUNTIFS(veri!G:G,15,veri!I:I,"&gt;=900",veri!I:I,"&lt;1000")</f>
        <v>0</v>
      </c>
      <c r="Q12" s="116">
        <f>COUNTIFS(veri!G:G,16,veri!I:I,"&gt;=900",veri!I:I,"&lt;1000")</f>
        <v>0</v>
      </c>
      <c r="R12" s="116">
        <f>COUNTIFS(veri!G:G,17,veri!I:I,"&gt;=900",veri!I:I,"&lt;1000")</f>
        <v>0</v>
      </c>
      <c r="S12" s="116">
        <f>COUNTIFS(veri!G:G,18,veri!I:I,"&gt;=900",veri!I:I,"&lt;1000")</f>
        <v>0</v>
      </c>
      <c r="T12" s="116">
        <f>COUNTIFS(veri!G:G,19,veri!I:I,"&gt;=900",veri!I:I,"&lt;1000")</f>
        <v>0</v>
      </c>
      <c r="U12" s="116">
        <f>COUNTIFS(veri!G:G,20,veri!I:I,"&gt;=900",veri!I:I,"&lt;1000")</f>
        <v>0</v>
      </c>
      <c r="V12" s="116">
        <f>COUNTIFS(veri!G:G,21,veri!I:I,"&gt;=900",veri!I:I,"&lt;1000")</f>
        <v>0</v>
      </c>
      <c r="W12" s="116">
        <f>COUNTIFS(veri!G:G,22,veri!I:I,"&gt;=900",veri!I:I,"&lt;1000")</f>
        <v>0</v>
      </c>
      <c r="X12" s="116">
        <f>COUNTIFS(veri!G:G,23,veri!I:I,"&gt;=900",veri!I:I,"&lt;1000")</f>
        <v>0</v>
      </c>
      <c r="Y12" s="116">
        <f>COUNTIFS(veri!G:G,24,veri!I:I,"&gt;=900",veri!I:I,"&lt;1000")</f>
        <v>0</v>
      </c>
      <c r="Z12" s="116">
        <f>COUNTIFS(veri!G:G,25,veri!I:I,"&gt;=900",veri!I:I,"&lt;1000")</f>
        <v>0</v>
      </c>
      <c r="AA12" s="116">
        <f>COUNTIFS(veri!G:G,26,veri!I:I,"&gt;=900",veri!I:I,"&lt;1000")</f>
        <v>0</v>
      </c>
      <c r="AB12" s="116">
        <f>COUNTIFS(veri!G:G,51,veri!I:I,"&gt;=900",veri!I:I,"&lt;1000")</f>
        <v>0</v>
      </c>
      <c r="AC12" s="116">
        <f>COUNTIFS(veri!G:G,52,veri!I:I,"&gt;=900",veri!I:I,"&lt;1000")</f>
        <v>0</v>
      </c>
      <c r="AD12" s="116">
        <f>COUNTIFS(veri!G:G,53,veri!I:I,"&gt;=900",veri!I:I,"&lt;1000")</f>
        <v>0</v>
      </c>
      <c r="AE12" s="116">
        <f>COUNTIFS(veri!G:G,54,veri!I:I,"&gt;=900",veri!I:I,"&lt;1000")</f>
        <v>0</v>
      </c>
      <c r="AF12" s="116">
        <f>COUNTIFS(veri!G:G,55,veri!I:I,"&gt;=900",veri!I:I,"&lt;1000")</f>
        <v>0</v>
      </c>
      <c r="AG12" s="116">
        <f>COUNTIFS(veri!G:G,56,veri!I:I,"&gt;=900",veri!I:I,"&lt;1000")</f>
        <v>0</v>
      </c>
      <c r="AH12" s="116">
        <f>COUNTIFS(veri!G:G,57,veri!I:I,"&gt;=900",veri!I:I,"&lt;1000")</f>
        <v>0</v>
      </c>
      <c r="AI12" s="127">
        <f>COUNTIFS(veri!G:G,58,veri!I:I,"&gt;=900",veri!I:I,"&lt;1000")</f>
        <v>0</v>
      </c>
      <c r="AJ12" s="116">
        <f>COUNTIFS(veri!G:G,59,veri!I:I,"&gt;=900",veri!I:I,"&lt;1000")</f>
        <v>0</v>
      </c>
      <c r="AK12" s="116">
        <f>COUNTIFS(veri!G:G,60,veri!I:I,"&gt;=900",veri!I:I,"&lt;1000")</f>
        <v>0</v>
      </c>
      <c r="AL12" s="116">
        <f>COUNTIFS(veri!G:G,61,veri!I:I,"&gt;=900",veri!I:I,"&lt;1000")</f>
        <v>0</v>
      </c>
      <c r="AM12" s="116">
        <f>COUNTIFS(veri!G:G,62,veri!I:I,"&gt;=900",veri!I:I,"&lt;1000")</f>
        <v>0</v>
      </c>
      <c r="AN12" s="116">
        <f>COUNTIFS(veri!G:G,63,veri!I:I,"&gt;=900",veri!I:I,"&lt;1000")</f>
        <v>0</v>
      </c>
      <c r="AO12" s="116">
        <f>COUNTIFS(veri!G:G,64,veri!I:I,"&gt;=900",veri!I:I,"&lt;1000")</f>
        <v>0</v>
      </c>
      <c r="AP12" s="116">
        <f>COUNTIFS(veri!G:G,65,veri!I:I,"&gt;=900",veri!I:I,"&lt;1000")</f>
        <v>0</v>
      </c>
      <c r="AQ12" s="116">
        <f>COUNTIFS(veri!G:G,66,veri!I:I,"&gt;=900",veri!I:I,"&lt;1000")</f>
        <v>0</v>
      </c>
      <c r="AR12" s="116">
        <f>COUNTIFS(veri!G:G,67,veri!I:I,"&gt;=900",veri!I:I,"&lt;1000")</f>
        <v>0</v>
      </c>
      <c r="AS12" s="116">
        <f>COUNTIFS(veri!G:G,68,veri!I:I,"&gt;=900",veri!I:I,"&lt;1000")</f>
        <v>0</v>
      </c>
      <c r="AT12" s="116">
        <f>COUNTIFS(veri!G:G,69,veri!I:I,"&gt;=900",veri!I:I,"&lt;1000")</f>
        <v>0</v>
      </c>
      <c r="AU12" s="116">
        <f>COUNTIFS(veri!G:G,70,veri!I:I,"&gt;=900",veri!I:I,"&lt;1000")</f>
        <v>0</v>
      </c>
      <c r="AV12" s="116">
        <f>COUNTIFS(veri!G:G,71,veri!I:I,"&gt;=900",veri!I:I,"&lt;1000")</f>
        <v>0</v>
      </c>
      <c r="AW12" s="116">
        <f>COUNTIFS(veri!G:G,72,veri!I:I,"&gt;=900",veri!I:I,"&lt;1000")</f>
        <v>0</v>
      </c>
      <c r="AX12" s="116">
        <f>COUNTIFS(veri!G:G,73,veri!I:I,"&gt;=900",veri!I:I,"&lt;1000")</f>
        <v>0</v>
      </c>
      <c r="AY12" s="116">
        <f>COUNTIFS(veri!G:G,74,veri!I:I,"&gt;=900",veri!I:I,"&lt;1000")</f>
        <v>0</v>
      </c>
      <c r="AZ12" s="116">
        <f>COUNTIFS(veri!G:G,75,veri!I:I,"&gt;=900",veri!I:I,"&lt;1000")</f>
        <v>0</v>
      </c>
      <c r="BA12" s="116">
        <f>COUNTIFS(veri!G:G,76,veri!I:I,"&gt;=900",veri!I:I,"&lt;1000")</f>
        <v>0</v>
      </c>
      <c r="BB12" s="116">
        <f>COUNTIFS(veri!G:G,77,veri!I:I,"&gt;=900",veri!I:I,"&lt;1000")</f>
        <v>0</v>
      </c>
      <c r="BC12" s="116">
        <f>COUNTIFS(veri!G:G,78,veri!I:I,"&gt;=900",veri!I:I,"&lt;1000")</f>
        <v>0</v>
      </c>
      <c r="BD12" s="116">
        <f>COUNTIFS(veri!G:G,79,veri!I:I,"&gt;=900",veri!I:I,"&lt;1000")</f>
        <v>0</v>
      </c>
      <c r="BE12" s="116">
        <f>COUNTIFS(veri!G:G,80,veri!I:I,"&gt;=900",veri!I:I,"&lt;1000")</f>
        <v>0</v>
      </c>
      <c r="BF12" s="116">
        <f>COUNTIFS(veri!G:G,81,veri!I:I,"&gt;=900",veri!I:I,"&lt;1000")</f>
        <v>0</v>
      </c>
      <c r="BG12" s="116">
        <f>COUNTIFS(veri!G:G,82,veri!I:I,"&gt;=900",veri!I:I,"&lt;1000")</f>
        <v>0</v>
      </c>
      <c r="BH12" s="116">
        <f>COUNTIFS(veri!G:G,83,veri!I:I,"&gt;=900",veri!I:I,"&lt;1000")</f>
        <v>0</v>
      </c>
      <c r="BI12" s="116">
        <f>COUNTIFS(veri!G:G,84,veri!I:I,"&gt;=900",veri!I:I,"&lt;1000")</f>
        <v>0</v>
      </c>
      <c r="BJ12" s="116">
        <f>COUNTIFS(veri!G:G,85,veri!I:I,"&gt;=900",veri!I:I,"&lt;1000")</f>
        <v>0</v>
      </c>
      <c r="BK12" s="116">
        <f>COUNTIFS(veri!G:G,86,veri!I:I,"&gt;=900",veri!I:I,"&lt;1000")</f>
        <v>0</v>
      </c>
      <c r="BL12" s="116">
        <f>COUNTIFS(veri!G:G,87,veri!I:I,"&gt;=900",veri!I:I,"&lt;1000")</f>
        <v>0</v>
      </c>
      <c r="BM12" s="116">
        <f>COUNTIFS(veri!G:G,88,veri!I:I,"&gt;=900",veri!I:I,"&lt;1000")</f>
        <v>0</v>
      </c>
      <c r="BN12" s="116">
        <f>COUNTIFS(veri!G:G,89,veri!I:I,"&gt;=900",veri!I:I,"&lt;1000")</f>
        <v>0</v>
      </c>
      <c r="BO12" s="116">
        <f>COUNTIFS(veri!G:G,90,veri!I:I,"&gt;=900",veri!I:I,"&lt;1000")</f>
        <v>0</v>
      </c>
      <c r="BP12" s="116">
        <f>COUNTIFS(veri!G:G,91,veri!I:I,"&gt;=900",veri!I:I,"&lt;1000")</f>
        <v>0</v>
      </c>
      <c r="BQ12" s="116">
        <f>COUNTIFS(veri!G:G,92,veri!I:I,"&gt;=900",veri!I:I,"&lt;1000")</f>
        <v>0</v>
      </c>
      <c r="BR12" s="116">
        <f>COUNTIFS(veri!G:G,93,veri!I:I,"&gt;=900",veri!I:I,"&lt;1000")</f>
        <v>0</v>
      </c>
      <c r="BS12" s="116">
        <f>COUNTIFS(veri!G:G,94,veri!I:I,"&gt;=900",veri!I:I,"&lt;1000")</f>
        <v>0</v>
      </c>
      <c r="BT12" s="116">
        <f>COUNTIFS(veri!G:G,95,veri!I:I,"&gt;=900",veri!I:I,"&lt;1000")</f>
        <v>0</v>
      </c>
      <c r="BU12" s="116">
        <f>COUNTIFS(veri!G:G,96,veri!I:I,"&gt;=900",veri!I:I,"&lt;1000")</f>
        <v>0</v>
      </c>
      <c r="BV12" s="116">
        <f>COUNTIFS(veri!G:G,97,veri!I:I,"&gt;=900",veri!I:I,"&lt;1000")</f>
        <v>0</v>
      </c>
      <c r="BW12" s="116">
        <f>COUNTIFS(veri!G:G,98,veri!I:I,"&gt;=900",veri!I:I,"&lt;1000")</f>
        <v>0</v>
      </c>
      <c r="BX12" s="116">
        <f>COUNTIFS(veri!G:G,99,veri!I:I,"&gt;=900",veri!I:I,"&lt;1000")</f>
        <v>0</v>
      </c>
      <c r="BY12" s="116">
        <f>COUNTIFS(veri!G:G,100,veri!I:I,"&gt;=900",veri!I:I,"&lt;1000")</f>
        <v>0</v>
      </c>
      <c r="BZ12" s="116">
        <f>COUNTIFS(veri!G:G,101,veri!I:I,"&gt;=900",veri!I:I,"&lt;1000")</f>
        <v>0</v>
      </c>
      <c r="CA12" s="116">
        <f>COUNTIFS(veri!G:G,102,veri!I:I,"&gt;=900",veri!I:I,"&lt;1000")</f>
        <v>0</v>
      </c>
      <c r="CB12" s="116">
        <f>COUNTIFS(veri!G:G,103,veri!I:I,"&gt;=900",veri!I:I,"&lt;1000")</f>
        <v>0</v>
      </c>
      <c r="CC12" s="116">
        <f>COUNTIFS(veri!G:G,104,veri!I:I,"&gt;=900",veri!I:I,"&lt;1000")</f>
        <v>0</v>
      </c>
      <c r="CD12" s="116">
        <f>COUNTIFS(veri!G:G,105,veri!I:I,"&gt;=900",veri!I:I,"&lt;1000")</f>
        <v>0</v>
      </c>
      <c r="CE12" s="121">
        <f t="shared" si="0"/>
        <v>0</v>
      </c>
      <c r="CF12" s="121">
        <f t="shared" si="1"/>
        <v>0</v>
      </c>
      <c r="CG12" s="121">
        <f t="shared" si="2"/>
        <v>0</v>
      </c>
      <c r="CH12" s="129">
        <f>IFERROR(CG12/CG24*100,0)</f>
        <v>0</v>
      </c>
      <c r="CI12" s="14"/>
      <c r="CJ12" s="14"/>
      <c r="CK12" s="14"/>
    </row>
    <row r="13" spans="1:89" ht="13.5" customHeight="1" x14ac:dyDescent="0.15">
      <c r="A13" s="122" t="s">
        <v>683</v>
      </c>
      <c r="B13" s="123">
        <f>COUNTIFS(veri!G:G,1,veri!I:I,"&gt;=1000",veri!I:I,"&lt;1100")</f>
        <v>0</v>
      </c>
      <c r="C13" s="123">
        <f>COUNTIFS(veri!G:G,2,veri!I:I,"&gt;=1000",veri!I:I,"&lt;1100")</f>
        <v>0</v>
      </c>
      <c r="D13" s="123">
        <f>COUNTIFS(veri!G:G,3,veri!I:I,"&gt;=1000",veri!I:I,"&lt;1100")</f>
        <v>0</v>
      </c>
      <c r="E13" s="123">
        <f>COUNTIFS(veri!G:G,4,veri!I:I,"&gt;=1000",veri!I:I,"&lt;1100")</f>
        <v>0</v>
      </c>
      <c r="F13" s="123">
        <f>COUNTIFS(veri!G:G,5,veri!I:I,"&gt;=1000",veri!I:I,"&lt;1100")</f>
        <v>0</v>
      </c>
      <c r="G13" s="123">
        <f>COUNTIFS(veri!G:G,6,veri!I:I,"&gt;=1000",veri!I:I,"&lt;1100")</f>
        <v>0</v>
      </c>
      <c r="H13" s="123">
        <f>COUNTIFS(veri!G:G,7,veri!I:I,"&gt;=1000",veri!I:I,"&lt;1100")</f>
        <v>0</v>
      </c>
      <c r="I13" s="123">
        <f>COUNTIFS(veri!G:G,8,veri!I:I,"&gt;=1000",veri!I:I,"&lt;1100")</f>
        <v>0</v>
      </c>
      <c r="J13" s="123">
        <f>COUNTIFS(veri!G:G,9,veri!I:I,"&gt;=1000",veri!I:I,"&lt;1100")</f>
        <v>0</v>
      </c>
      <c r="K13" s="123">
        <f>COUNTIFS(veri!G:G,10,veri!I:I,"&gt;=1000",veri!I:I,"&lt;1100")</f>
        <v>0</v>
      </c>
      <c r="L13" s="123">
        <f>COUNTIFS(veri!G:G,11,veri!I:I,"&gt;=1000",veri!I:I,"&lt;1100")</f>
        <v>0</v>
      </c>
      <c r="M13" s="123">
        <f>COUNTIFS(veri!G:G,12,veri!I:I,"&gt;=1000",veri!I:I,"&lt;1100")</f>
        <v>0</v>
      </c>
      <c r="N13" s="123">
        <f>COUNTIFS(veri!G:G,13,veri!I:I,"&gt;=1000",veri!I:I,"&lt;1100")</f>
        <v>0</v>
      </c>
      <c r="O13" s="123">
        <f>COUNTIFS(veri!G:G,14,veri!I:I,"&gt;=1000",veri!I:I,"&lt;1100")</f>
        <v>0</v>
      </c>
      <c r="P13" s="123">
        <f>COUNTIFS(veri!G:G,15,veri!I:I,"&gt;=1000",veri!I:I,"&lt;1100")</f>
        <v>0</v>
      </c>
      <c r="Q13" s="123">
        <f>COUNTIFS(veri!G:G,16,veri!I:I,"&gt;=1000",veri!I:I,"&lt;1100")</f>
        <v>0</v>
      </c>
      <c r="R13" s="123">
        <f>COUNTIFS(veri!G:G,17,veri!I:I,"&gt;=1000",veri!I:I,"&lt;1100")</f>
        <v>0</v>
      </c>
      <c r="S13" s="123">
        <f>COUNTIFS(veri!G:G,18,veri!I:I,"&gt;=1000",veri!I:I,"&lt;1100")</f>
        <v>0</v>
      </c>
      <c r="T13" s="123">
        <f>COUNTIFS(veri!G:G,19,veri!I:I,"&gt;=1000",veri!I:I,"&lt;1100")</f>
        <v>0</v>
      </c>
      <c r="U13" s="123">
        <f>COUNTIFS(veri!G:G,20,veri!I:I,"&gt;=1000",veri!I:I,"&lt;1100")</f>
        <v>0</v>
      </c>
      <c r="V13" s="123">
        <f>COUNTIFS(veri!G:G,21,veri!I:I,"&gt;=1000",veri!I:I,"&lt;1100")</f>
        <v>0</v>
      </c>
      <c r="W13" s="123">
        <f>COUNTIFS(veri!G:G,22,veri!I:I,"&gt;=1000",veri!I:I,"&lt;1100")</f>
        <v>0</v>
      </c>
      <c r="X13" s="123">
        <f>COUNTIFS(veri!G:G,23,veri!I:I,"&gt;=1000",veri!I:I,"&lt;1100")</f>
        <v>0</v>
      </c>
      <c r="Y13" s="123">
        <f>COUNTIFS(veri!G:G,24,veri!I:I,"&gt;=1000",veri!I:I,"&lt;1100")</f>
        <v>0</v>
      </c>
      <c r="Z13" s="123">
        <f>COUNTIFS(veri!G:G,25,veri!I:I,"&gt;=1000",veri!I:I,"&lt;1100")</f>
        <v>0</v>
      </c>
      <c r="AA13" s="123">
        <f>COUNTIFS(veri!G:G,26,veri!I:I,"&gt;=1000",veri!I:I,"&lt;1100")</f>
        <v>0</v>
      </c>
      <c r="AB13" s="123">
        <f>COUNTIFS(veri!G:G,51,veri!I:I,"&gt;=1000",veri!I:I,"&lt;1100")</f>
        <v>0</v>
      </c>
      <c r="AC13" s="123">
        <f>COUNTIFS(veri!G:G,52,veri!I:I,"&gt;=1000",veri!I:I,"&lt;1100")</f>
        <v>0</v>
      </c>
      <c r="AD13" s="123">
        <f>COUNTIFS(veri!G:G,53,veri!I:I,"&gt;=1000",veri!I:I,"&lt;1100")</f>
        <v>0</v>
      </c>
      <c r="AE13" s="123">
        <f>COUNTIFS(veri!G:G,54,veri!I:I,"&gt;=1000",veri!I:I,"&lt;1100")</f>
        <v>0</v>
      </c>
      <c r="AF13" s="123">
        <f>COUNTIFS(veri!G:G,55,veri!I:I,"&gt;=1000",veri!I:I,"&lt;1100")</f>
        <v>0</v>
      </c>
      <c r="AG13" s="123">
        <f>COUNTIFS(veri!G:G,56,veri!I:I,"&gt;=1000",veri!I:I,"&lt;1100")</f>
        <v>0</v>
      </c>
      <c r="AH13" s="123">
        <f>COUNTIFS(veri!G:G,57,veri!I:I,"&gt;=1000",veri!I:I,"&lt;1100")</f>
        <v>0</v>
      </c>
      <c r="AI13" s="124">
        <f>COUNTIFS(veri!G:G,58,veri!I:I,"&gt;=1000",veri!I:I,"&lt;1100")</f>
        <v>0</v>
      </c>
      <c r="AJ13" s="123">
        <f>COUNTIFS(veri!G:G,59,veri!I:I,"&gt;=1000",veri!I:I,"&lt;1100")</f>
        <v>0</v>
      </c>
      <c r="AK13" s="123">
        <f>COUNTIFS(veri!G:G,60,veri!I:I,"&gt;=1000",veri!I:I,"&lt;1100")</f>
        <v>0</v>
      </c>
      <c r="AL13" s="123">
        <f>COUNTIFS(veri!G:G,61,veri!I:I,"&gt;=1000",veri!I:I,"&lt;1100")</f>
        <v>0</v>
      </c>
      <c r="AM13" s="123">
        <f>COUNTIFS(veri!G:G,62,veri!I:I,"&gt;=1000",veri!I:I,"&lt;1100")</f>
        <v>0</v>
      </c>
      <c r="AN13" s="123">
        <f>COUNTIFS(veri!G:G,63,veri!I:I,"&gt;=1000",veri!I:I,"&lt;1100")</f>
        <v>0</v>
      </c>
      <c r="AO13" s="123">
        <f>COUNTIFS(veri!G:G,64,veri!I:I,"&gt;=1000",veri!I:I,"&lt;1100")</f>
        <v>0</v>
      </c>
      <c r="AP13" s="123">
        <f>COUNTIFS(veri!G:G,65,veri!I:I,"&gt;=1000",veri!I:I,"&lt;1100")</f>
        <v>0</v>
      </c>
      <c r="AQ13" s="123">
        <f>COUNTIFS(veri!G:G,66,veri!I:I,"&gt;=1000",veri!I:I,"&lt;1100")</f>
        <v>0</v>
      </c>
      <c r="AR13" s="123">
        <f>COUNTIFS(veri!G:G,67,veri!I:I,"&gt;=1000",veri!I:I,"&lt;1100")</f>
        <v>0</v>
      </c>
      <c r="AS13" s="123">
        <f>COUNTIFS(veri!G:G,68,veri!I:I,"&gt;=1000",veri!I:I,"&lt;1100")</f>
        <v>0</v>
      </c>
      <c r="AT13" s="123">
        <f>COUNTIFS(veri!G:G,69,veri!I:I,"&gt;=1000",veri!I:I,"&lt;1100")</f>
        <v>0</v>
      </c>
      <c r="AU13" s="123">
        <f>COUNTIFS(veri!G:G,70,veri!I:I,"&gt;=1000",veri!I:I,"&lt;1100")</f>
        <v>0</v>
      </c>
      <c r="AV13" s="123">
        <f>COUNTIFS(veri!G:G,71,veri!I:I,"&gt;=1000",veri!I:I,"&lt;1100")</f>
        <v>0</v>
      </c>
      <c r="AW13" s="123">
        <f>COUNTIFS(veri!G:G,72,veri!I:I,"&gt;=1000",veri!I:I,"&lt;1100")</f>
        <v>0</v>
      </c>
      <c r="AX13" s="123">
        <f>COUNTIFS(veri!G:G,73,veri!I:I,"&gt;=1000",veri!I:I,"&lt;1100")</f>
        <v>0</v>
      </c>
      <c r="AY13" s="123">
        <f>COUNTIFS(veri!G:G,74,veri!I:I,"&gt;=1000",veri!I:I,"&lt;1100")</f>
        <v>0</v>
      </c>
      <c r="AZ13" s="123">
        <f>COUNTIFS(veri!G:G,75,veri!I:I,"&gt;=1000",veri!I:I,"&lt;1100")</f>
        <v>0</v>
      </c>
      <c r="BA13" s="123">
        <f>COUNTIFS(veri!G:G,76,veri!I:I,"&gt;=1000",veri!I:I,"&lt;1100")</f>
        <v>0</v>
      </c>
      <c r="BB13" s="123">
        <f>COUNTIFS(veri!G:G,77,veri!I:I,"&gt;=1000",veri!I:I,"&lt;1100")</f>
        <v>0</v>
      </c>
      <c r="BC13" s="123">
        <f>COUNTIFS(veri!G:G,78,veri!I:I,"&gt;=1000",veri!I:I,"&lt;1100")</f>
        <v>0</v>
      </c>
      <c r="BD13" s="123">
        <f>COUNTIFS(veri!G:G,79,veri!I:I,"&gt;=1000",veri!I:I,"&lt;1100")</f>
        <v>0</v>
      </c>
      <c r="BE13" s="123">
        <f>COUNTIFS(veri!G:G,80,veri!I:I,"&gt;=1000",veri!I:I,"&lt;1100")</f>
        <v>0</v>
      </c>
      <c r="BF13" s="123">
        <f>COUNTIFS(veri!G:G,81,veri!I:I,"&gt;=1000",veri!I:I,"&lt;1100")</f>
        <v>0</v>
      </c>
      <c r="BG13" s="123">
        <f>COUNTIFS(veri!G:G,82,veri!I:I,"&gt;=1000",veri!I:I,"&lt;1100")</f>
        <v>0</v>
      </c>
      <c r="BH13" s="123">
        <f>COUNTIFS(veri!G:G,83,veri!I:I,"&gt;=1000",veri!I:I,"&lt;1100")</f>
        <v>0</v>
      </c>
      <c r="BI13" s="123">
        <f>COUNTIFS(veri!G:G,84,veri!I:I,"&gt;=1000",veri!I:I,"&lt;1100")</f>
        <v>0</v>
      </c>
      <c r="BJ13" s="123">
        <f>COUNTIFS(veri!G:G,85,veri!I:I,"&gt;=1000",veri!I:I,"&lt;1100")</f>
        <v>0</v>
      </c>
      <c r="BK13" s="123">
        <f>COUNTIFS(veri!G:G,86,veri!I:I,"&gt;=1000",veri!I:I,"&lt;1100")</f>
        <v>0</v>
      </c>
      <c r="BL13" s="123">
        <f>COUNTIFS(veri!G:G,87,veri!I:I,"&gt;=1000",veri!I:I,"&lt;1100")</f>
        <v>0</v>
      </c>
      <c r="BM13" s="123">
        <f>COUNTIFS(veri!G:G,88,veri!I:I,"&gt;=1000",veri!I:I,"&lt;1100")</f>
        <v>0</v>
      </c>
      <c r="BN13" s="123">
        <f>COUNTIFS(veri!G:G,89,veri!I:I,"&gt;=1000",veri!I:I,"&lt;1100")</f>
        <v>0</v>
      </c>
      <c r="BO13" s="123">
        <f>COUNTIFS(veri!G:G,90,veri!I:I,"&gt;=1000",veri!I:I,"&lt;1100")</f>
        <v>0</v>
      </c>
      <c r="BP13" s="123">
        <f>COUNTIFS(veri!G:G,91,veri!I:I,"&gt;=1000",veri!I:I,"&lt;1100")</f>
        <v>0</v>
      </c>
      <c r="BQ13" s="123">
        <f>COUNTIFS(veri!G:G,92,veri!I:I,"&gt;=1000",veri!I:I,"&lt;1100")</f>
        <v>0</v>
      </c>
      <c r="BR13" s="123">
        <f>COUNTIFS(veri!G:G,93,veri!I:I,"&gt;=1000",veri!I:I,"&lt;1100")</f>
        <v>0</v>
      </c>
      <c r="BS13" s="123">
        <f>COUNTIFS(veri!G:G,94,veri!I:I,"&gt;=1000",veri!I:I,"&lt;1100")</f>
        <v>0</v>
      </c>
      <c r="BT13" s="123">
        <f>COUNTIFS(veri!G:G,95,veri!I:I,"&gt;=1000",veri!I:I,"&lt;1100")</f>
        <v>0</v>
      </c>
      <c r="BU13" s="123">
        <f>COUNTIFS(veri!G:G,96,veri!I:I,"&gt;=1000",veri!I:I,"&lt;1100")</f>
        <v>0</v>
      </c>
      <c r="BV13" s="123">
        <f>COUNTIFS(veri!G:G,97,veri!I:I,"&gt;=1000",veri!I:I,"&lt;1100")</f>
        <v>0</v>
      </c>
      <c r="BW13" s="123">
        <f>COUNTIFS(veri!G:G,98,veri!I:I,"&gt;=1000",veri!I:I,"&lt;1100")</f>
        <v>0</v>
      </c>
      <c r="BX13" s="123">
        <f>COUNTIFS(veri!G:G,99,veri!I:I,"&gt;=1000",veri!I:I,"&lt;1100")</f>
        <v>0</v>
      </c>
      <c r="BY13" s="123">
        <f>COUNTIFS(veri!G:G,100,veri!I:I,"&gt;=1000",veri!I:I,"&lt;1100")</f>
        <v>0</v>
      </c>
      <c r="BZ13" s="123">
        <f>COUNTIFS(veri!G:G,101,veri!I:I,"&gt;=1000",veri!I:I,"&lt;1100")</f>
        <v>0</v>
      </c>
      <c r="CA13" s="123">
        <f>COUNTIFS(veri!G:G,102,veri!I:I,"&gt;=1000",veri!I:I,"&lt;1100")</f>
        <v>0</v>
      </c>
      <c r="CB13" s="123">
        <f>COUNTIFS(veri!G:G,103,veri!I:I,"&gt;=1000",veri!I:I,"&lt;1100")</f>
        <v>0</v>
      </c>
      <c r="CC13" s="123">
        <f>COUNTIFS(veri!G:G,104,veri!I:I,"&gt;=1000",veri!I:I,"&lt;1100")</f>
        <v>0</v>
      </c>
      <c r="CD13" s="123">
        <f>COUNTIFS(veri!G:G,105,veri!I:I,"&gt;=1000",veri!I:I,"&lt;1100")</f>
        <v>0</v>
      </c>
      <c r="CE13" s="121">
        <f t="shared" si="0"/>
        <v>0</v>
      </c>
      <c r="CF13" s="121">
        <f t="shared" si="1"/>
        <v>0</v>
      </c>
      <c r="CG13" s="121">
        <f t="shared" si="2"/>
        <v>0</v>
      </c>
      <c r="CH13" s="129">
        <f>IFERROR(CG13/CG24*100,0)</f>
        <v>0</v>
      </c>
      <c r="CI13" s="14"/>
      <c r="CJ13" s="14"/>
      <c r="CK13" s="14"/>
    </row>
    <row r="14" spans="1:89" ht="13.5" customHeight="1" x14ac:dyDescent="0.15">
      <c r="A14" s="120" t="s">
        <v>684</v>
      </c>
      <c r="B14" s="116">
        <f>COUNTIFS(veri!G:G,1,veri!I:I,"&gt;=1100",veri!I:I,"&lt;1200")</f>
        <v>0</v>
      </c>
      <c r="C14" s="116">
        <f>COUNTIFS(veri!G:G,2,veri!I:I,"&gt;=1100",veri!I:I,"&lt;1200")</f>
        <v>0</v>
      </c>
      <c r="D14" s="116">
        <f>COUNTIFS(veri!G:G,3,veri!I:I,"&gt;=1100",veri!I:I,"&lt;1200")</f>
        <v>0</v>
      </c>
      <c r="E14" s="116">
        <f>COUNTIFS(veri!G:G,4,veri!I:I,"&gt;=1100",veri!I:I,"&lt;1200")</f>
        <v>0</v>
      </c>
      <c r="F14" s="116">
        <f>COUNTIFS(veri!G:G,5,veri!I:I,"&gt;=1100",veri!I:I,"&lt;1200")</f>
        <v>0</v>
      </c>
      <c r="G14" s="116">
        <f>COUNTIFS(veri!G:G,6,veri!I:I,"&gt;=1100",veri!I:I,"&lt;1200")</f>
        <v>0</v>
      </c>
      <c r="H14" s="116">
        <f>COUNTIFS(veri!G:G,7,veri!I:I,"&gt;=1100",veri!I:I,"&lt;1200")</f>
        <v>0</v>
      </c>
      <c r="I14" s="116">
        <f>COUNTIFS(veri!G:G,8,veri!I:I,"&gt;=1100",veri!I:I,"&lt;1200")</f>
        <v>0</v>
      </c>
      <c r="J14" s="116">
        <f>COUNTIFS(veri!G:G,9,veri!I:I,"&gt;=1100",veri!I:I,"&lt;1200")</f>
        <v>0</v>
      </c>
      <c r="K14" s="116">
        <f>COUNTIFS(veri!G:G,10,veri!I:I,"&gt;=1100",veri!I:I,"&lt;1200")</f>
        <v>0</v>
      </c>
      <c r="L14" s="116">
        <f>COUNTIFS(veri!G:G,11,veri!I:I,"&gt;=1100",veri!I:I,"&lt;1200")</f>
        <v>0</v>
      </c>
      <c r="M14" s="116">
        <f>COUNTIFS(veri!G:G,12,veri!I:I,"&gt;=1100",veri!I:I,"&lt;1200")</f>
        <v>0</v>
      </c>
      <c r="N14" s="116">
        <f>COUNTIFS(veri!G:G,13,veri!I:I,"&gt;=1100",veri!I:I,"&lt;1200")</f>
        <v>0</v>
      </c>
      <c r="O14" s="116">
        <f>COUNTIFS(veri!G:G,14,veri!I:I,"&gt;=1100",veri!I:I,"&lt;1200")</f>
        <v>0</v>
      </c>
      <c r="P14" s="116">
        <f>COUNTIFS(veri!G:G,15,veri!I:I,"&gt;=1100",veri!I:I,"&lt;1200")</f>
        <v>0</v>
      </c>
      <c r="Q14" s="116">
        <f>COUNTIFS(veri!G:G,16,veri!I:I,"&gt;=1100",veri!I:I,"&lt;1200")</f>
        <v>0</v>
      </c>
      <c r="R14" s="116">
        <f>COUNTIFS(veri!G:G,17,veri!I:I,"&gt;=1100",veri!I:I,"&lt;1200")</f>
        <v>0</v>
      </c>
      <c r="S14" s="116">
        <f>COUNTIFS(veri!G:G,18,veri!I:I,"&gt;=1100",veri!I:I,"&lt;1200")</f>
        <v>0</v>
      </c>
      <c r="T14" s="116">
        <f>COUNTIFS(veri!G:G,19,veri!I:I,"&gt;=1100",veri!I:I,"&lt;1200")</f>
        <v>0</v>
      </c>
      <c r="U14" s="116">
        <f>COUNTIFS(veri!G:G,20,veri!I:I,"&gt;=1100",veri!I:I,"&lt;1200")</f>
        <v>0</v>
      </c>
      <c r="V14" s="116">
        <f>COUNTIFS(veri!G:G,21,veri!I:I,"&gt;=1100",veri!I:I,"&lt;1200")</f>
        <v>0</v>
      </c>
      <c r="W14" s="116">
        <f>COUNTIFS(veri!G:G,22,veri!I:I,"&gt;=1100",veri!I:I,"&lt;1200")</f>
        <v>0</v>
      </c>
      <c r="X14" s="116">
        <f>COUNTIFS(veri!G:G,23,veri!I:I,"&gt;=1100",veri!I:I,"&lt;1200")</f>
        <v>0</v>
      </c>
      <c r="Y14" s="116">
        <f>COUNTIFS(veri!G:G,24,veri!I:I,"&gt;=1100",veri!I:I,"&lt;1200")</f>
        <v>0</v>
      </c>
      <c r="Z14" s="116">
        <f>COUNTIFS(veri!G:G,25,veri!I:I,"&gt;=1100",veri!I:I,"&lt;1200")</f>
        <v>0</v>
      </c>
      <c r="AA14" s="116">
        <f>COUNTIFS(veri!G:G,26,veri!I:I,"&gt;=1100",veri!I:I,"&lt;1200")</f>
        <v>0</v>
      </c>
      <c r="AB14" s="116">
        <f>COUNTIFS(veri!G:G,51,veri!I:I,"&gt;=1100",veri!I:I,"&lt;1200")</f>
        <v>0</v>
      </c>
      <c r="AC14" s="116">
        <f>COUNTIFS(veri!G:G,52,veri!I:I,"&gt;=1100",veri!I:I,"&lt;1200")</f>
        <v>0</v>
      </c>
      <c r="AD14" s="116">
        <f>COUNTIFS(veri!G:G,53,veri!I:I,"&gt;=1100",veri!I:I,"&lt;1200")</f>
        <v>1</v>
      </c>
      <c r="AE14" s="116">
        <f>COUNTIFS(veri!G:G,54,veri!I:I,"&gt;=1100",veri!I:I,"&lt;1200")</f>
        <v>0</v>
      </c>
      <c r="AF14" s="116">
        <f>COUNTIFS(veri!G:G,55,veri!I:I,"&gt;=1100",veri!I:I,"&lt;1200")</f>
        <v>1</v>
      </c>
      <c r="AG14" s="116">
        <f>COUNTIFS(veri!G:G,56,veri!I:I,"&gt;=1100",veri!I:I,"&lt;1200")</f>
        <v>0</v>
      </c>
      <c r="AH14" s="116">
        <f>COUNTIFS(veri!G:G,57,veri!I:I,"&gt;=1100",veri!I:I,"&lt;1200")</f>
        <v>0</v>
      </c>
      <c r="AI14" s="127">
        <f>COUNTIFS(veri!G:G,58,veri!I:I,"&gt;=1100",veri!I:I,"&lt;1200")</f>
        <v>0</v>
      </c>
      <c r="AJ14" s="116">
        <f>COUNTIFS(veri!G:G,59,veri!I:I,"&gt;=1100",veri!I:I,"&lt;1200")</f>
        <v>0</v>
      </c>
      <c r="AK14" s="116">
        <f>COUNTIFS(veri!G:G,60,veri!I:I,"&gt;=1100",veri!I:I,"&lt;1200")</f>
        <v>0</v>
      </c>
      <c r="AL14" s="116">
        <f>COUNTIFS(veri!G:G,61,veri!I:I,"&gt;=1100",veri!I:I,"&lt;1200")</f>
        <v>0</v>
      </c>
      <c r="AM14" s="116">
        <f>COUNTIFS(veri!G:G,62,veri!I:I,"&gt;=1100",veri!I:I,"&lt;1200")</f>
        <v>0</v>
      </c>
      <c r="AN14" s="116">
        <f>COUNTIFS(veri!G:G,63,veri!I:I,"&gt;=1100",veri!I:I,"&lt;1200")</f>
        <v>0</v>
      </c>
      <c r="AO14" s="116">
        <f>COUNTIFS(veri!G:G,64,veri!I:I,"&gt;=1100",veri!I:I,"&lt;1200")</f>
        <v>0</v>
      </c>
      <c r="AP14" s="116">
        <f>COUNTIFS(veri!G:G,65,veri!I:I,"&gt;=1100",veri!I:I,"&lt;1200")</f>
        <v>0</v>
      </c>
      <c r="AQ14" s="116">
        <f>COUNTIFS(veri!G:G,66,veri!I:I,"&gt;=1100",veri!I:I,"&lt;1200")</f>
        <v>0</v>
      </c>
      <c r="AR14" s="116">
        <f>COUNTIFS(veri!G:G,67,veri!I:I,"&gt;=1100",veri!I:I,"&lt;1200")</f>
        <v>0</v>
      </c>
      <c r="AS14" s="116">
        <f>COUNTIFS(veri!G:G,68,veri!I:I,"&gt;=1100",veri!I:I,"&lt;1200")</f>
        <v>0</v>
      </c>
      <c r="AT14" s="116">
        <f>COUNTIFS(veri!G:G,69,veri!I:I,"&gt;=1100",veri!I:I,"&lt;1200")</f>
        <v>0</v>
      </c>
      <c r="AU14" s="116">
        <f>COUNTIFS(veri!G:G,70,veri!I:I,"&gt;=1100",veri!I:I,"&lt;1200")</f>
        <v>0</v>
      </c>
      <c r="AV14" s="116">
        <f>COUNTIFS(veri!G:G,71,veri!I:I,"&gt;=1100",veri!I:I,"&lt;1200")</f>
        <v>0</v>
      </c>
      <c r="AW14" s="116">
        <f>COUNTIFS(veri!G:G,72,veri!I:I,"&gt;=1100",veri!I:I,"&lt;1200")</f>
        <v>0</v>
      </c>
      <c r="AX14" s="116">
        <f>COUNTIFS(veri!G:G,73,veri!I:I,"&gt;=1100",veri!I:I,"&lt;1200")</f>
        <v>0</v>
      </c>
      <c r="AY14" s="116">
        <f>COUNTIFS(veri!G:G,74,veri!I:I,"&gt;=1100",veri!I:I,"&lt;1200")</f>
        <v>0</v>
      </c>
      <c r="AZ14" s="116">
        <f>COUNTIFS(veri!G:G,75,veri!I:I,"&gt;=1100",veri!I:I,"&lt;1200")</f>
        <v>0</v>
      </c>
      <c r="BA14" s="116">
        <f>COUNTIFS(veri!G:G,76,veri!I:I,"&gt;=1100",veri!I:I,"&lt;1200")</f>
        <v>0</v>
      </c>
      <c r="BB14" s="116">
        <f>COUNTIFS(veri!G:G,77,veri!I:I,"&gt;=1100",veri!I:I,"&lt;1200")</f>
        <v>0</v>
      </c>
      <c r="BC14" s="116">
        <f>COUNTIFS(veri!G:G,78,veri!I:I,"&gt;=1100",veri!I:I,"&lt;1200")</f>
        <v>0</v>
      </c>
      <c r="BD14" s="116">
        <f>COUNTIFS(veri!G:G,79,veri!I:I,"&gt;=1100",veri!I:I,"&lt;1200")</f>
        <v>0</v>
      </c>
      <c r="BE14" s="116">
        <f>COUNTIFS(veri!G:G,80,veri!I:I,"&gt;=1100",veri!I:I,"&lt;1200")</f>
        <v>0</v>
      </c>
      <c r="BF14" s="116">
        <f>COUNTIFS(veri!G:G,81,veri!I:I,"&gt;=1100",veri!I:I,"&lt;1200")</f>
        <v>0</v>
      </c>
      <c r="BG14" s="116">
        <f>COUNTIFS(veri!G:G,82,veri!I:I,"&gt;=1100",veri!I:I,"&lt;1200")</f>
        <v>0</v>
      </c>
      <c r="BH14" s="116">
        <f>COUNTIFS(veri!G:G,83,veri!I:I,"&gt;=1100",veri!I:I,"&lt;1200")</f>
        <v>0</v>
      </c>
      <c r="BI14" s="116">
        <f>COUNTIFS(veri!G:G,84,veri!I:I,"&gt;=1100",veri!I:I,"&lt;1200")</f>
        <v>0</v>
      </c>
      <c r="BJ14" s="116">
        <f>COUNTIFS(veri!G:G,85,veri!I:I,"&gt;=1100",veri!I:I,"&lt;1200")</f>
        <v>0</v>
      </c>
      <c r="BK14" s="116">
        <f>COUNTIFS(veri!G:G,86,veri!I:I,"&gt;=1100",veri!I:I,"&lt;1200")</f>
        <v>0</v>
      </c>
      <c r="BL14" s="116">
        <f>COUNTIFS(veri!G:G,87,veri!I:I,"&gt;=1100",veri!I:I,"&lt;1200")</f>
        <v>0</v>
      </c>
      <c r="BM14" s="116">
        <f>COUNTIFS(veri!G:G,88,veri!I:I,"&gt;=1100",veri!I:I,"&lt;1200")</f>
        <v>0</v>
      </c>
      <c r="BN14" s="116">
        <f>COUNTIFS(veri!G:G,89,veri!I:I,"&gt;=1100",veri!I:I,"&lt;1200")</f>
        <v>0</v>
      </c>
      <c r="BO14" s="116">
        <f>COUNTIFS(veri!G:G,90,veri!I:I,"&gt;=1100",veri!I:I,"&lt;1200")</f>
        <v>0</v>
      </c>
      <c r="BP14" s="116">
        <f>COUNTIFS(veri!G:G,91,veri!I:I,"&gt;=1100",veri!I:I,"&lt;1200")</f>
        <v>0</v>
      </c>
      <c r="BQ14" s="116">
        <f>COUNTIFS(veri!G:G,92,veri!I:I,"&gt;=1100",veri!I:I,"&lt;1200")</f>
        <v>0</v>
      </c>
      <c r="BR14" s="116">
        <f>COUNTIFS(veri!G:G,93,veri!I:I,"&gt;=1100",veri!I:I,"&lt;1200")</f>
        <v>0</v>
      </c>
      <c r="BS14" s="116">
        <f>COUNTIFS(veri!G:G,94,veri!I:I,"&gt;=1100",veri!I:I,"&lt;1200")</f>
        <v>0</v>
      </c>
      <c r="BT14" s="116">
        <f>COUNTIFS(veri!G:G,95,veri!I:I,"&gt;=1100",veri!I:I,"&lt;1200")</f>
        <v>0</v>
      </c>
      <c r="BU14" s="116">
        <f>COUNTIFS(veri!G:G,96,veri!I:I,"&gt;=1100",veri!I:I,"&lt;1200")</f>
        <v>0</v>
      </c>
      <c r="BV14" s="116">
        <f>COUNTIFS(veri!G:G,97,veri!I:I,"&gt;=1100",veri!I:I,"&lt;1200")</f>
        <v>0</v>
      </c>
      <c r="BW14" s="116">
        <f>COUNTIFS(veri!G:G,98,veri!I:I,"&gt;=1100",veri!I:I,"&lt;1200")</f>
        <v>0</v>
      </c>
      <c r="BX14" s="116">
        <f>COUNTIFS(veri!G:G,99,veri!I:I,"&gt;=1100",veri!I:I,"&lt;1200")</f>
        <v>0</v>
      </c>
      <c r="BY14" s="116">
        <f>COUNTIFS(veri!G:G,100,veri!I:I,"&gt;=1100",veri!I:I,"&lt;1200")</f>
        <v>0</v>
      </c>
      <c r="BZ14" s="116">
        <f>COUNTIFS(veri!G:G,101,veri!I:I,"&gt;=1100",veri!I:I,"&lt;1200")</f>
        <v>0</v>
      </c>
      <c r="CA14" s="116">
        <f>COUNTIFS(veri!G:G,102,veri!I:I,"&gt;=1100",veri!I:I,"&lt;1200")</f>
        <v>0</v>
      </c>
      <c r="CB14" s="116">
        <f>COUNTIFS(veri!G:G,103,veri!I:I,"&gt;=1100",veri!I:I,"&lt;1200")</f>
        <v>0</v>
      </c>
      <c r="CC14" s="116">
        <f>COUNTIFS(veri!G:G,104,veri!I:I,"&gt;=1100",veri!I:I,"&lt;1200")</f>
        <v>0</v>
      </c>
      <c r="CD14" s="116">
        <f>COUNTIFS(veri!G:G,105,veri!I:I,"&gt;=1100",veri!I:I,"&lt;1200")</f>
        <v>0</v>
      </c>
      <c r="CE14" s="121">
        <f t="shared" si="0"/>
        <v>0</v>
      </c>
      <c r="CF14" s="121">
        <f t="shared" si="1"/>
        <v>2</v>
      </c>
      <c r="CG14" s="121">
        <f t="shared" si="2"/>
        <v>2</v>
      </c>
      <c r="CH14" s="129">
        <f>IFERROR(CG14/CG24*100,0)</f>
        <v>0</v>
      </c>
      <c r="CI14" s="14"/>
      <c r="CJ14" s="14"/>
      <c r="CK14" s="14"/>
    </row>
    <row r="15" spans="1:89" ht="13.5" customHeight="1" x14ac:dyDescent="0.15">
      <c r="A15" s="122" t="s">
        <v>685</v>
      </c>
      <c r="B15" s="123">
        <f>COUNTIFS(veri!G:G,1,veri!I:I,"&gt;=1200",veri!I:I,"&lt;1300")</f>
        <v>0</v>
      </c>
      <c r="C15" s="123">
        <f>COUNTIFS(veri!G:G,2,veri!I:I,"&gt;=1200",veri!I:I,"&lt;1300")</f>
        <v>0</v>
      </c>
      <c r="D15" s="123">
        <f>COUNTIFS(veri!G:G,3,veri!I:I,"&gt;=1200",veri!I:I,"&lt;1300")</f>
        <v>0</v>
      </c>
      <c r="E15" s="123">
        <f>COUNTIFS(veri!G:G,4,veri!I:I,"&gt;=1200",veri!I:I,"&lt;1300")</f>
        <v>0</v>
      </c>
      <c r="F15" s="123">
        <f>COUNTIFS(veri!G:G,5,veri!I:I,"&gt;=1200",veri!I:I,"&lt;1300")</f>
        <v>0</v>
      </c>
      <c r="G15" s="123">
        <f>COUNTIFS(veri!G:G,6,veri!I:I,"&gt;=1200",veri!I:I,"&lt;1300")</f>
        <v>0</v>
      </c>
      <c r="H15" s="123">
        <f>COUNTIFS(veri!G:G,7,veri!I:I,"&gt;=1200",veri!I:I,"&lt;1300")</f>
        <v>0</v>
      </c>
      <c r="I15" s="123">
        <f>COUNTIFS(veri!G:G,8,veri!I:I,"&gt;=1200",veri!I:I,"&lt;1300")</f>
        <v>0</v>
      </c>
      <c r="J15" s="123">
        <f>COUNTIFS(veri!G:G,9,veri!I:I,"&gt;=1200",veri!I:I,"&lt;1300")</f>
        <v>0</v>
      </c>
      <c r="K15" s="123">
        <f>COUNTIFS(veri!G:G,10,veri!I:I,"&gt;=1200",veri!I:I,"&lt;1300")</f>
        <v>0</v>
      </c>
      <c r="L15" s="123">
        <f>COUNTIFS(veri!G:G,11,veri!I:I,"&gt;=1200",veri!I:I,"&lt;1300")</f>
        <v>0</v>
      </c>
      <c r="M15" s="123">
        <f>COUNTIFS(veri!G:G,12,veri!I:I,"&gt;=1200",veri!I:I,"&lt;1300")</f>
        <v>0</v>
      </c>
      <c r="N15" s="123">
        <f>COUNTIFS(veri!G:G,13,veri!I:I,"&gt;=1200",veri!I:I,"&lt;1300")</f>
        <v>0</v>
      </c>
      <c r="O15" s="123">
        <f>COUNTIFS(veri!G:G,14,veri!I:I,"&gt;=1200",veri!I:I,"&lt;1300")</f>
        <v>0</v>
      </c>
      <c r="P15" s="123">
        <f>COUNTIFS(veri!G:G,15,veri!I:I,"&gt;=1200",veri!I:I,"&lt;1300")</f>
        <v>0</v>
      </c>
      <c r="Q15" s="123">
        <f>COUNTIFS(veri!G:G,16,veri!I:I,"&gt;=1200",veri!I:I,"&lt;1300")</f>
        <v>0</v>
      </c>
      <c r="R15" s="123">
        <f>COUNTIFS(veri!G:G,17,veri!I:I,"&gt;=1200",veri!I:I,"&lt;1300")</f>
        <v>0</v>
      </c>
      <c r="S15" s="123">
        <f>COUNTIFS(veri!G:G,18,veri!I:I,"&gt;=1200",veri!I:I,"&lt;1300")</f>
        <v>0</v>
      </c>
      <c r="T15" s="123">
        <f>COUNTIFS(veri!G:G,19,veri!I:I,"&gt;=1200",veri!I:I,"&lt;1300")</f>
        <v>0</v>
      </c>
      <c r="U15" s="123">
        <f>COUNTIFS(veri!G:G,20,veri!I:I,"&gt;=1200",veri!I:I,"&lt;1300")</f>
        <v>0</v>
      </c>
      <c r="V15" s="123">
        <f>COUNTIFS(veri!G:G,21,veri!I:I,"&gt;=1200",veri!I:I,"&lt;1300")</f>
        <v>0</v>
      </c>
      <c r="W15" s="123">
        <f>COUNTIFS(veri!G:G,22,veri!I:I,"&gt;=1200",veri!I:I,"&lt;1300")</f>
        <v>0</v>
      </c>
      <c r="X15" s="123">
        <f>COUNTIFS(veri!G:G,23,veri!I:I,"&gt;=1200",veri!I:I,"&lt;1300")</f>
        <v>0</v>
      </c>
      <c r="Y15" s="123">
        <f>COUNTIFS(veri!G:G,24,veri!I:I,"&gt;=1200",veri!I:I,"&lt;1300")</f>
        <v>0</v>
      </c>
      <c r="Z15" s="123">
        <f>COUNTIFS(veri!G:G,25,veri!I:I,"&gt;=1200",veri!I:I,"&lt;1300")</f>
        <v>0</v>
      </c>
      <c r="AA15" s="123">
        <f>COUNTIFS(veri!G:G,26,veri!I:I,"&gt;=1200",veri!I:I,"&lt;1300")</f>
        <v>0</v>
      </c>
      <c r="AB15" s="123">
        <f>COUNTIFS(veri!G:G,51,veri!I:I,"&gt;=1200",veri!I:I,"&lt;1300")</f>
        <v>0</v>
      </c>
      <c r="AC15" s="123">
        <f>COUNTIFS(veri!G:G,52,veri!I:I,"&gt;=1200",veri!I:I,"&lt;1300")</f>
        <v>0</v>
      </c>
      <c r="AD15" s="123">
        <f>COUNTIFS(veri!G:G,53,veri!I:I,"&gt;=1200",veri!I:I,"&lt;1300")</f>
        <v>0</v>
      </c>
      <c r="AE15" s="123">
        <f>COUNTIFS(veri!G:G,54,veri!I:I,"&gt;=1200",veri!I:I,"&lt;1300")</f>
        <v>0</v>
      </c>
      <c r="AF15" s="123">
        <f>COUNTIFS(veri!G:G,55,veri!I:I,"&gt;=1200",veri!I:I,"&lt;1300")</f>
        <v>0</v>
      </c>
      <c r="AG15" s="123">
        <f>COUNTIFS(veri!G:G,56,veri!I:I,"&gt;=1200",veri!I:I,"&lt;1300")</f>
        <v>0</v>
      </c>
      <c r="AH15" s="123">
        <f>COUNTIFS(veri!G:G,57,veri!I:I,"&gt;=1200",veri!I:I,"&lt;1300")</f>
        <v>0</v>
      </c>
      <c r="AI15" s="124">
        <f>COUNTIFS(veri!G:G,58,veri!I:I,"&gt;=1200",veri!I:I,"&lt;1300")</f>
        <v>0</v>
      </c>
      <c r="AJ15" s="124">
        <f>COUNTIFS(veri!G:G,59,veri!I:I,"&gt;=1200",veri!I:I,"&lt;1300")</f>
        <v>0</v>
      </c>
      <c r="AK15" s="123">
        <f>COUNTIFS(veri!G:G,60,veri!I:I,"&gt;=1200",veri!I:I,"&lt;1300")</f>
        <v>0</v>
      </c>
      <c r="AL15" s="123">
        <f>COUNTIFS(veri!G:G,61,veri!I:I,"&gt;=1200",veri!I:I,"&lt;1300")</f>
        <v>0</v>
      </c>
      <c r="AM15" s="123">
        <f>COUNTIFS(veri!G:G,62,veri!I:I,"&gt;=1200",veri!I:I,"&lt;1300")</f>
        <v>0</v>
      </c>
      <c r="AN15" s="123">
        <f>COUNTIFS(veri!G:G,63,veri!I:I,"&gt;=1200",veri!I:I,"&lt;1300")</f>
        <v>0</v>
      </c>
      <c r="AO15" s="123">
        <f>COUNTIFS(veri!G:G,64,veri!I:I,"&gt;=1200",veri!I:I,"&lt;1300")</f>
        <v>0</v>
      </c>
      <c r="AP15" s="123">
        <f>COUNTIFS(veri!G:G,65,veri!I:I,"&gt;=1200",veri!I:I,"&lt;1300")</f>
        <v>0</v>
      </c>
      <c r="AQ15" s="123">
        <f>COUNTIFS(veri!G:G,66,veri!I:I,"&gt;=1200",veri!I:I,"&lt;1300")</f>
        <v>0</v>
      </c>
      <c r="AR15" s="123">
        <f>COUNTIFS(veri!G:G,67,veri!I:I,"&gt;=1200",veri!I:I,"&lt;1300")</f>
        <v>0</v>
      </c>
      <c r="AS15" s="123">
        <f>COUNTIFS(veri!G:G,68,veri!I:I,"&gt;=1200",veri!I:I,"&lt;1300")</f>
        <v>0</v>
      </c>
      <c r="AT15" s="123">
        <f>COUNTIFS(veri!G:G,69,veri!I:I,"&gt;=1200",veri!I:I,"&lt;1300")</f>
        <v>0</v>
      </c>
      <c r="AU15" s="123">
        <f>COUNTIFS(veri!G:G,70,veri!I:I,"&gt;=1200",veri!I:I,"&lt;1300")</f>
        <v>0</v>
      </c>
      <c r="AV15" s="123">
        <f>COUNTIFS(veri!G:G,71,veri!I:I,"&gt;=1200",veri!I:I,"&lt;1300")</f>
        <v>0</v>
      </c>
      <c r="AW15" s="123">
        <f>COUNTIFS(veri!G:G,72,veri!I:I,"&gt;=1200",veri!I:I,"&lt;1300")</f>
        <v>0</v>
      </c>
      <c r="AX15" s="123">
        <f>COUNTIFS(veri!G:G,73,veri!I:I,"&gt;=1200",veri!I:I,"&lt;1300")</f>
        <v>0</v>
      </c>
      <c r="AY15" s="123">
        <f>COUNTIFS(veri!G:G,74,veri!I:I,"&gt;=1200",veri!I:I,"&lt;1300")</f>
        <v>0</v>
      </c>
      <c r="AZ15" s="123">
        <f>COUNTIFS(veri!G:G,75,veri!I:I,"&gt;=1200",veri!I:I,"&lt;1300")</f>
        <v>0</v>
      </c>
      <c r="BA15" s="123">
        <f>COUNTIFS(veri!G:G,76,veri!I:I,"&gt;=1200",veri!I:I,"&lt;1300")</f>
        <v>0</v>
      </c>
      <c r="BB15" s="123">
        <f>COUNTIFS(veri!G:G,77,veri!I:I,"&gt;=1200",veri!I:I,"&lt;1300")</f>
        <v>0</v>
      </c>
      <c r="BC15" s="123">
        <f>COUNTIFS(veri!G:G,78,veri!I:I,"&gt;=1200",veri!I:I,"&lt;1300")</f>
        <v>0</v>
      </c>
      <c r="BD15" s="123">
        <f>COUNTIFS(veri!G:G,79,veri!I:I,"&gt;=1200",veri!I:I,"&lt;1300")</f>
        <v>0</v>
      </c>
      <c r="BE15" s="123">
        <f>COUNTIFS(veri!G:G,80,veri!I:I,"&gt;=1200",veri!I:I,"&lt;1300")</f>
        <v>0</v>
      </c>
      <c r="BF15" s="123">
        <f>COUNTIFS(veri!G:G,81,veri!I:I,"&gt;=1200",veri!I:I,"&lt;1300")</f>
        <v>0</v>
      </c>
      <c r="BG15" s="123">
        <f>COUNTIFS(veri!G:G,82,veri!I:I,"&gt;=1200",veri!I:I,"&lt;1300")</f>
        <v>0</v>
      </c>
      <c r="BH15" s="123">
        <f>COUNTIFS(veri!G:G,83,veri!I:I,"&gt;=1200",veri!I:I,"&lt;1300")</f>
        <v>0</v>
      </c>
      <c r="BI15" s="123">
        <f>COUNTIFS(veri!G:G,84,veri!I:I,"&gt;=1200",veri!I:I,"&lt;1300")</f>
        <v>0</v>
      </c>
      <c r="BJ15" s="123">
        <f>COUNTIFS(veri!G:G,85,veri!I:I,"&gt;=1200",veri!I:I,"&lt;1300")</f>
        <v>0</v>
      </c>
      <c r="BK15" s="123">
        <f>COUNTIFS(veri!G:G,86,veri!I:I,"&gt;=1200",veri!I:I,"&lt;1300")</f>
        <v>0</v>
      </c>
      <c r="BL15" s="123">
        <f>COUNTIFS(veri!G:G,87,veri!I:I,"&gt;=1200",veri!I:I,"&lt;1300")</f>
        <v>0</v>
      </c>
      <c r="BM15" s="123">
        <f>COUNTIFS(veri!G:G,88,veri!I:I,"&gt;=1200",veri!I:I,"&lt;1300")</f>
        <v>0</v>
      </c>
      <c r="BN15" s="123">
        <f>COUNTIFS(veri!G:G,89,veri!I:I,"&gt;=1200",veri!I:I,"&lt;1300")</f>
        <v>0</v>
      </c>
      <c r="BO15" s="123">
        <f>COUNTIFS(veri!G:G,90,veri!I:I,"&gt;=1200",veri!I:I,"&lt;1300")</f>
        <v>0</v>
      </c>
      <c r="BP15" s="123">
        <f>COUNTIFS(veri!G:G,91,veri!I:I,"&gt;=1200",veri!I:I,"&lt;1300")</f>
        <v>0</v>
      </c>
      <c r="BQ15" s="123">
        <f>COUNTIFS(veri!G:G,92,veri!I:I,"&gt;=1200",veri!I:I,"&lt;1300")</f>
        <v>0</v>
      </c>
      <c r="BR15" s="123">
        <f>COUNTIFS(veri!G:G,93,veri!I:I,"&gt;=1200",veri!I:I,"&lt;1300")</f>
        <v>0</v>
      </c>
      <c r="BS15" s="123">
        <f>COUNTIFS(veri!G:G,94,veri!I:I,"&gt;=1200",veri!I:I,"&lt;1300")</f>
        <v>0</v>
      </c>
      <c r="BT15" s="123">
        <f>COUNTIFS(veri!G:G,95,veri!I:I,"&gt;=1200",veri!I:I,"&lt;1300")</f>
        <v>0</v>
      </c>
      <c r="BU15" s="123">
        <f>COUNTIFS(veri!G:G,96,veri!I:I,"&gt;=1200",veri!I:I,"&lt;1300")</f>
        <v>0</v>
      </c>
      <c r="BV15" s="123">
        <f>COUNTIFS(veri!G:G,97,veri!I:I,"&gt;=1200",veri!I:I,"&lt;1300")</f>
        <v>0</v>
      </c>
      <c r="BW15" s="123">
        <f>COUNTIFS(veri!G:G,98,veri!I:I,"&gt;=1200",veri!I:I,"&lt;1300")</f>
        <v>0</v>
      </c>
      <c r="BX15" s="123">
        <f>COUNTIFS(veri!G:G,99,veri!I:I,"&gt;=1200",veri!I:I,"&lt;1300")</f>
        <v>0</v>
      </c>
      <c r="BY15" s="123">
        <f>COUNTIFS(veri!G:G,100,veri!I:I,"&gt;=1200",veri!I:I,"&lt;1300")</f>
        <v>0</v>
      </c>
      <c r="BZ15" s="123">
        <f>COUNTIFS(veri!G:G,101,veri!I:I,"&gt;=1200",veri!I:I,"&lt;1300")</f>
        <v>0</v>
      </c>
      <c r="CA15" s="123">
        <f>COUNTIFS(veri!G:G,102,veri!I:I,"&gt;=1200",veri!I:I,"&lt;1300")</f>
        <v>0</v>
      </c>
      <c r="CB15" s="123">
        <f>COUNTIFS(veri!G:G,103,veri!I:I,"&gt;=1200",veri!I:I,"&lt;1300")</f>
        <v>0</v>
      </c>
      <c r="CC15" s="123">
        <f>COUNTIFS(veri!G:G,104,veri!I:I,"&gt;=1200",veri!I:I,"&lt;1300")</f>
        <v>0</v>
      </c>
      <c r="CD15" s="123">
        <f>COUNTIFS(veri!G:G,105,veri!I:I,"&gt;=1200",veri!I:I,"&lt;1300")</f>
        <v>0</v>
      </c>
      <c r="CE15" s="121">
        <f t="shared" si="0"/>
        <v>0</v>
      </c>
      <c r="CF15" s="121">
        <f t="shared" si="1"/>
        <v>0</v>
      </c>
      <c r="CG15" s="121">
        <f t="shared" si="2"/>
        <v>0</v>
      </c>
      <c r="CH15" s="129">
        <f>IFERROR(CG15/CG24*100,0)</f>
        <v>0</v>
      </c>
      <c r="CI15" s="14"/>
      <c r="CJ15" s="14"/>
      <c r="CK15" s="14"/>
    </row>
    <row r="16" spans="1:89" ht="13.5" customHeight="1" x14ac:dyDescent="0.15">
      <c r="A16" s="120" t="s">
        <v>686</v>
      </c>
      <c r="B16" s="116">
        <f>COUNTIFS(veri!G:G,1,veri!I:I,"&gt;=1300",veri!I:I,"&lt;1400")</f>
        <v>0</v>
      </c>
      <c r="C16" s="116">
        <f>COUNTIFS(veri!G:G,2,veri!I:I,"&gt;=1300",veri!I:I,"&lt;1400")</f>
        <v>0</v>
      </c>
      <c r="D16" s="116">
        <f>COUNTIFS(veri!G:G,3,veri!I:I,"&gt;=1300",veri!I:I,"&lt;1400")</f>
        <v>0</v>
      </c>
      <c r="E16" s="116">
        <f>COUNTIFS(veri!G:G,4,veri!I:I,"&gt;=1300",veri!I:I,"&lt;1400")</f>
        <v>0</v>
      </c>
      <c r="F16" s="116">
        <f>COUNTIFS(veri!G:G,5,veri!I:I,"&gt;=1300",veri!I:I,"&lt;1400")</f>
        <v>0</v>
      </c>
      <c r="G16" s="116">
        <f>COUNTIFS(veri!G:G,6,veri!I:I,"&gt;=1300",veri!I:I,"&lt;1400")</f>
        <v>0</v>
      </c>
      <c r="H16" s="116">
        <f>COUNTIFS(veri!G:G,7,veri!I:I,"&gt;=1300",veri!I:I,"&lt;1400")</f>
        <v>0</v>
      </c>
      <c r="I16" s="116">
        <f>COUNTIFS(veri!G:G,8,veri!I:I,"&gt;=1300",veri!I:I,"&lt;1400")</f>
        <v>0</v>
      </c>
      <c r="J16" s="116">
        <f>COUNTIFS(veri!G:G,9,veri!I:I,"&gt;=1300",veri!I:I,"&lt;1400")</f>
        <v>0</v>
      </c>
      <c r="K16" s="116">
        <f>COUNTIFS(veri!G:G,10,veri!I:I,"&gt;=1300",veri!I:I,"&lt;1400")</f>
        <v>0</v>
      </c>
      <c r="L16" s="116">
        <f>COUNTIFS(veri!G:G,11,veri!I:I,"&gt;=1300",veri!I:I,"&lt;1400")</f>
        <v>0</v>
      </c>
      <c r="M16" s="116">
        <f>COUNTIFS(veri!G:G,12,veri!I:I,"&gt;=1300",veri!I:I,"&lt;1400")</f>
        <v>0</v>
      </c>
      <c r="N16" s="116">
        <f>COUNTIFS(veri!G:G,13,veri!I:I,"&gt;=1300",veri!I:I,"&lt;1400")</f>
        <v>0</v>
      </c>
      <c r="O16" s="116">
        <f>COUNTIFS(veri!G:G,14,veri!I:I,"&gt;=1300",veri!I:I,"&lt;1400")</f>
        <v>0</v>
      </c>
      <c r="P16" s="116">
        <f>COUNTIFS(veri!G:G,15,veri!I:I,"&gt;=1300",veri!I:I,"&lt;1400")</f>
        <v>0</v>
      </c>
      <c r="Q16" s="116">
        <f>COUNTIFS(veri!G:G,16,veri!I:I,"&gt;=1300",veri!I:I,"&lt;1400")</f>
        <v>0</v>
      </c>
      <c r="R16" s="116">
        <f>COUNTIFS(veri!G:G,17,veri!I:I,"&gt;=1300",veri!I:I,"&lt;1400")</f>
        <v>0</v>
      </c>
      <c r="S16" s="116">
        <f>COUNTIFS(veri!G:G,18,veri!I:I,"&gt;=1300",veri!I:I,"&lt;1400")</f>
        <v>0</v>
      </c>
      <c r="T16" s="116">
        <f>COUNTIFS(veri!G:G,19,veri!I:I,"&gt;=1300",veri!I:I,"&lt;1400")</f>
        <v>0</v>
      </c>
      <c r="U16" s="116">
        <f>COUNTIFS(veri!G:G,20,veri!I:I,"&gt;=1300",veri!I:I,"&lt;1400")</f>
        <v>0</v>
      </c>
      <c r="V16" s="116">
        <f>COUNTIFS(veri!G:G,21,veri!I:I,"&gt;=1300",veri!I:I,"&lt;1400")</f>
        <v>0</v>
      </c>
      <c r="W16" s="116">
        <f>COUNTIFS(veri!G:G,22,veri!I:I,"&gt;=1300",veri!I:I,"&lt;1400")</f>
        <v>0</v>
      </c>
      <c r="X16" s="116">
        <f>COUNTIFS(veri!G:G,23,veri!I:I,"&gt;=1300",veri!I:I,"&lt;1400")</f>
        <v>0</v>
      </c>
      <c r="Y16" s="116">
        <f>COUNTIFS(veri!G:G,24,veri!I:I,"&gt;=1300",veri!I:I,"&lt;1400")</f>
        <v>0</v>
      </c>
      <c r="Z16" s="116">
        <f>COUNTIFS(veri!G:G,25,veri!I:I,"&gt;=1300",veri!I:I,"&lt;1400")</f>
        <v>0</v>
      </c>
      <c r="AA16" s="116">
        <f>COUNTIFS(veri!G:G,26,veri!I:I,"&gt;=1300",veri!I:I,"&lt;1400")</f>
        <v>0</v>
      </c>
      <c r="AB16" s="116">
        <f>COUNTIFS(veri!G:G,51,veri!I:I,"&gt;=1300",veri!I:I,"&lt;1400")</f>
        <v>0</v>
      </c>
      <c r="AC16" s="116">
        <f>COUNTIFS(veri!G:G,52,veri!I:I,"&gt;=1300",veri!I:I,"&lt;1400")</f>
        <v>0</v>
      </c>
      <c r="AD16" s="116">
        <f>COUNTIFS(veri!G:G,53,veri!I:I,"&gt;=1300",veri!I:I,"&lt;1400")</f>
        <v>0</v>
      </c>
      <c r="AE16" s="116">
        <f>COUNTIFS(veri!G:G,54,veri!I:I,"&gt;=1300",veri!I:I,"&lt;1400")</f>
        <v>0</v>
      </c>
      <c r="AF16" s="116">
        <f>COUNTIFS(veri!G:G,55,veri!I:I,"&gt;=1300",veri!I:I,"&lt;1400")</f>
        <v>0</v>
      </c>
      <c r="AG16" s="116">
        <f>COUNTIFS(veri!G:G,56,veri!I:I,"&gt;=1300",veri!I:I,"&lt;1400")</f>
        <v>0</v>
      </c>
      <c r="AH16" s="116">
        <f>COUNTIFS(veri!G:G,57,veri!I:I,"&gt;=1300",veri!I:I,"&lt;1400")</f>
        <v>0</v>
      </c>
      <c r="AI16" s="127">
        <f>COUNTIFS(veri!G:G,58,veri!I:I,"&gt;=1300",veri!I:I,"&lt;1400")</f>
        <v>0</v>
      </c>
      <c r="AJ16" s="116">
        <f>COUNTIFS(veri!G:G,59,veri!I:I,"&gt;=1300",veri!I:I,"&lt;1400")</f>
        <v>0</v>
      </c>
      <c r="AK16" s="116">
        <f>COUNTIFS(veri!G:G,60,veri!I:I,"&gt;=1300",veri!I:I,"&lt;1400")</f>
        <v>0</v>
      </c>
      <c r="AL16" s="116">
        <f>COUNTIFS(veri!G:G,61,veri!I:I,"&gt;=1300",veri!I:I,"&lt;1400")</f>
        <v>0</v>
      </c>
      <c r="AM16" s="116">
        <f>COUNTIFS(veri!G:G,62,veri!I:I,"&gt;=1300",veri!I:I,"&lt;1400")</f>
        <v>0</v>
      </c>
      <c r="AN16" s="116">
        <f>COUNTIFS(veri!G:G,63,veri!I:I,"&gt;=1300",veri!I:I,"&lt;1400")</f>
        <v>0</v>
      </c>
      <c r="AO16" s="116">
        <f>COUNTIFS(veri!G:G,64,veri!I:I,"&gt;=1300",veri!I:I,"&lt;1400")</f>
        <v>0</v>
      </c>
      <c r="AP16" s="116">
        <f>COUNTIFS(veri!G:G,65,veri!I:I,"&gt;=1300",veri!I:I,"&lt;1400")</f>
        <v>0</v>
      </c>
      <c r="AQ16" s="116">
        <f>COUNTIFS(veri!G:G,66,veri!I:I,"&gt;=1300",veri!I:I,"&lt;1400")</f>
        <v>0</v>
      </c>
      <c r="AR16" s="116">
        <f>COUNTIFS(veri!G:G,67,veri!I:I,"&gt;=1300",veri!I:I,"&lt;1400")</f>
        <v>0</v>
      </c>
      <c r="AS16" s="116">
        <f>COUNTIFS(veri!G:G,68,veri!I:I,"&gt;=1300",veri!I:I,"&lt;1400")</f>
        <v>0</v>
      </c>
      <c r="AT16" s="116">
        <f>COUNTIFS(veri!G:G,69,veri!I:I,"&gt;=1300",veri!I:I,"&lt;1400")</f>
        <v>0</v>
      </c>
      <c r="AU16" s="116">
        <f>COUNTIFS(veri!G:G,70,veri!I:I,"&gt;=1300",veri!I:I,"&lt;1400")</f>
        <v>0</v>
      </c>
      <c r="AV16" s="116">
        <f>COUNTIFS(veri!G:G,71,veri!I:I,"&gt;=1300",veri!I:I,"&lt;1400")</f>
        <v>0</v>
      </c>
      <c r="AW16" s="116">
        <f>COUNTIFS(veri!G:G,72,veri!I:I,"&gt;=1300",veri!I:I,"&lt;1400")</f>
        <v>0</v>
      </c>
      <c r="AX16" s="116">
        <f>COUNTIFS(veri!G:G,73,veri!I:I,"&gt;=1300",veri!I:I,"&lt;1400")</f>
        <v>0</v>
      </c>
      <c r="AY16" s="116">
        <f>COUNTIFS(veri!G:G,74,veri!I:I,"&gt;=1300",veri!I:I,"&lt;1400")</f>
        <v>0</v>
      </c>
      <c r="AZ16" s="116">
        <f>COUNTIFS(veri!G:G,75,veri!I:I,"&gt;=1300",veri!I:I,"&lt;1400")</f>
        <v>0</v>
      </c>
      <c r="BA16" s="116">
        <f>COUNTIFS(veri!G:G,76,veri!I:I,"&gt;=1300",veri!I:I,"&lt;1400")</f>
        <v>0</v>
      </c>
      <c r="BB16" s="116">
        <f>COUNTIFS(veri!G:G,77,veri!I:I,"&gt;=1300",veri!I:I,"&lt;1400")</f>
        <v>0</v>
      </c>
      <c r="BC16" s="116">
        <f>COUNTIFS(veri!G:G,78,veri!I:I,"&gt;=1300",veri!I:I,"&lt;1400")</f>
        <v>0</v>
      </c>
      <c r="BD16" s="116">
        <f>COUNTIFS(veri!G:G,79,veri!I:I,"&gt;=1300",veri!I:I,"&lt;1400")</f>
        <v>0</v>
      </c>
      <c r="BE16" s="116">
        <f>COUNTIFS(veri!G:G,80,veri!I:I,"&gt;=1300",veri!I:I,"&lt;1400")</f>
        <v>0</v>
      </c>
      <c r="BF16" s="116">
        <f>COUNTIFS(veri!G:G,81,veri!I:I,"&gt;=1300",veri!I:I,"&lt;1400")</f>
        <v>0</v>
      </c>
      <c r="BG16" s="116">
        <f>COUNTIFS(veri!G:G,82,veri!I:I,"&gt;=1300",veri!I:I,"&lt;1400")</f>
        <v>0</v>
      </c>
      <c r="BH16" s="116">
        <f>COUNTIFS(veri!G:G,83,veri!I:I,"&gt;=1300",veri!I:I,"&lt;1400")</f>
        <v>0</v>
      </c>
      <c r="BI16" s="116">
        <f>COUNTIFS(veri!G:G,84,veri!I:I,"&gt;=1300",veri!I:I,"&lt;1400")</f>
        <v>0</v>
      </c>
      <c r="BJ16" s="116">
        <f>COUNTIFS(veri!G:G,85,veri!I:I,"&gt;=1300",veri!I:I,"&lt;1400")</f>
        <v>0</v>
      </c>
      <c r="BK16" s="116">
        <f>COUNTIFS(veri!G:G,86,veri!I:I,"&gt;=1300",veri!I:I,"&lt;1400")</f>
        <v>0</v>
      </c>
      <c r="BL16" s="116">
        <f>COUNTIFS(veri!G:G,87,veri!I:I,"&gt;=1300",veri!I:I,"&lt;1400")</f>
        <v>0</v>
      </c>
      <c r="BM16" s="116">
        <f>COUNTIFS(veri!G:G,88,veri!I:I,"&gt;=1300",veri!I:I,"&lt;1400")</f>
        <v>0</v>
      </c>
      <c r="BN16" s="116">
        <f>COUNTIFS(veri!G:G,89,veri!I:I,"&gt;=1300",veri!I:I,"&lt;1400")</f>
        <v>0</v>
      </c>
      <c r="BO16" s="116">
        <f>COUNTIFS(veri!G:G,90,veri!I:I,"&gt;=1300",veri!I:I,"&lt;1400")</f>
        <v>0</v>
      </c>
      <c r="BP16" s="116">
        <f>COUNTIFS(veri!G:G,91,veri!I:I,"&gt;=1300",veri!I:I,"&lt;1400")</f>
        <v>0</v>
      </c>
      <c r="BQ16" s="116">
        <f>COUNTIFS(veri!G:G,92,veri!I:I,"&gt;=1300",veri!I:I,"&lt;1400")</f>
        <v>0</v>
      </c>
      <c r="BR16" s="116">
        <f>COUNTIFS(veri!G:G,93,veri!I:I,"&gt;=1300",veri!I:I,"&lt;1400")</f>
        <v>0</v>
      </c>
      <c r="BS16" s="116">
        <f>COUNTIFS(veri!G:G,94,veri!I:I,"&gt;=1300",veri!I:I,"&lt;1400")</f>
        <v>0</v>
      </c>
      <c r="BT16" s="116">
        <f>COUNTIFS(veri!G:G,95,veri!I:I,"&gt;=1300",veri!I:I,"&lt;1400")</f>
        <v>0</v>
      </c>
      <c r="BU16" s="116">
        <f>COUNTIFS(veri!G:G,96,veri!I:I,"&gt;=1300",veri!I:I,"&lt;1400")</f>
        <v>0</v>
      </c>
      <c r="BV16" s="116">
        <f>COUNTIFS(veri!G:G,97,veri!I:I,"&gt;=1300",veri!I:I,"&lt;1400")</f>
        <v>0</v>
      </c>
      <c r="BW16" s="116">
        <f>COUNTIFS(veri!G:G,98,veri!I:I,"&gt;=1300",veri!I:I,"&lt;1400")</f>
        <v>0</v>
      </c>
      <c r="BX16" s="116">
        <f>COUNTIFS(veri!G:G,99,veri!I:I,"&gt;=1300",veri!I:I,"&lt;1400")</f>
        <v>0</v>
      </c>
      <c r="BY16" s="116">
        <f>COUNTIFS(veri!G:G,100,veri!I:I,"&gt;=1300",veri!I:I,"&lt;1400")</f>
        <v>0</v>
      </c>
      <c r="BZ16" s="116">
        <f>COUNTIFS(veri!G:G,101,veri!I:I,"&gt;=1300",veri!I:I,"&lt;1400")</f>
        <v>0</v>
      </c>
      <c r="CA16" s="116">
        <f>COUNTIFS(veri!G:G,102,veri!I:I,"&gt;=1300",veri!I:I,"&lt;1400")</f>
        <v>0</v>
      </c>
      <c r="CB16" s="116">
        <f>COUNTIFS(veri!G:G,103,veri!I:I,"&gt;=1300",veri!I:I,"&lt;1400")</f>
        <v>0</v>
      </c>
      <c r="CC16" s="116">
        <f>COUNTIFS(veri!G:G,104,veri!I:I,"&gt;=1300",veri!I:I,"&lt;1400")</f>
        <v>0</v>
      </c>
      <c r="CD16" s="116">
        <f>COUNTIFS(veri!G:G,105,veri!I:I,"&gt;=1300",veri!I:I,"&lt;1400")</f>
        <v>0</v>
      </c>
      <c r="CE16" s="121">
        <f t="shared" si="0"/>
        <v>0</v>
      </c>
      <c r="CF16" s="121">
        <f t="shared" si="1"/>
        <v>0</v>
      </c>
      <c r="CG16" s="121">
        <f t="shared" si="2"/>
        <v>0</v>
      </c>
      <c r="CH16" s="129">
        <f>IFERROR(CG16/CG24*100,0)</f>
        <v>0</v>
      </c>
      <c r="CI16" s="14"/>
      <c r="CJ16" s="14"/>
      <c r="CK16" s="14"/>
    </row>
    <row r="17" spans="1:89" ht="13.5" customHeight="1" x14ac:dyDescent="0.15">
      <c r="A17" s="122" t="s">
        <v>687</v>
      </c>
      <c r="B17" s="123">
        <f>COUNTIFS(veri!G:G,1,veri!I:I,"&gt;=1400",veri!I:I,"&lt;1500")</f>
        <v>0</v>
      </c>
      <c r="C17" s="123">
        <f>COUNTIFS(veri!G:G,2,veri!I:I,"&gt;=1400",veri!I:I,"&lt;1500")</f>
        <v>0</v>
      </c>
      <c r="D17" s="123">
        <f>COUNTIFS(veri!G:G,3,veri!I:I,"&gt;=1400",veri!I:I,"&lt;1500")</f>
        <v>0</v>
      </c>
      <c r="E17" s="123">
        <f>COUNTIFS(veri!G:G,4,veri!I:I,"&gt;=1400",veri!I:I,"&lt;1500")</f>
        <v>0</v>
      </c>
      <c r="F17" s="123">
        <f>COUNTIFS(veri!G:G,5,veri!I:I,"&gt;=1400",veri!I:I,"&lt;1500")</f>
        <v>0</v>
      </c>
      <c r="G17" s="123">
        <f>COUNTIFS(veri!G:G,6,veri!I:I,"&gt;=1400",veri!I:I,"&lt;1500")</f>
        <v>0</v>
      </c>
      <c r="H17" s="123">
        <f>COUNTIFS(veri!G:G,7,veri!I:I,"&gt;=1400",veri!I:I,"&lt;1500")</f>
        <v>0</v>
      </c>
      <c r="I17" s="123">
        <f>COUNTIFS(veri!G:G,8,veri!I:I,"&gt;=1400",veri!I:I,"&lt;1500")</f>
        <v>0</v>
      </c>
      <c r="J17" s="123">
        <f>COUNTIFS(veri!G:G,9,veri!I:I,"&gt;=1400",veri!I:I,"&lt;1500")</f>
        <v>0</v>
      </c>
      <c r="K17" s="123">
        <f>COUNTIFS(veri!G:G,10,veri!I:I,"&gt;=1400",veri!I:I,"&lt;1500")</f>
        <v>0</v>
      </c>
      <c r="L17" s="123">
        <f>COUNTIFS(veri!G:G,11,veri!I:I,"&gt;=1400",veri!I:I,"&lt;1500")</f>
        <v>0</v>
      </c>
      <c r="M17" s="123">
        <f>COUNTIFS(veri!G:G,12,veri!I:I,"&gt;=1400",veri!I:I,"&lt;1500")</f>
        <v>0</v>
      </c>
      <c r="N17" s="123">
        <f>COUNTIFS(veri!G:G,13,veri!I:I,"&gt;=1400",veri!I:I,"&lt;1500")</f>
        <v>0</v>
      </c>
      <c r="O17" s="123">
        <f>COUNTIFS(veri!G:G,14,veri!I:I,"&gt;=1400",veri!I:I,"&lt;1500")</f>
        <v>0</v>
      </c>
      <c r="P17" s="123">
        <f>COUNTIFS(veri!G:G,15,veri!I:I,"&gt;=1400",veri!I:I,"&lt;1500")</f>
        <v>0</v>
      </c>
      <c r="Q17" s="123">
        <f>COUNTIFS(veri!G:G,16,veri!I:I,"&gt;=1400",veri!I:I,"&lt;1500")</f>
        <v>0</v>
      </c>
      <c r="R17" s="123">
        <f>COUNTIFS(veri!G:G,17,veri!I:I,"&gt;=1400",veri!I:I,"&lt;1500")</f>
        <v>0</v>
      </c>
      <c r="S17" s="123">
        <f>COUNTIFS(veri!G:G,18,veri!I:I,"&gt;=1400",veri!I:I,"&lt;1500")</f>
        <v>0</v>
      </c>
      <c r="T17" s="123">
        <f>COUNTIFS(veri!G:G,19,veri!I:I,"&gt;=1400",veri!I:I,"&lt;1500")</f>
        <v>0</v>
      </c>
      <c r="U17" s="123">
        <f>COUNTIFS(veri!G:G,20,veri!I:I,"&gt;=1400",veri!I:I,"&lt;1500")</f>
        <v>0</v>
      </c>
      <c r="V17" s="123">
        <f>COUNTIFS(veri!G:G,21,veri!I:I,"&gt;=1400",veri!I:I,"&lt;1500")</f>
        <v>0</v>
      </c>
      <c r="W17" s="123">
        <f>COUNTIFS(veri!G:G,22,veri!I:I,"&gt;=1400",veri!I:I,"&lt;1500")</f>
        <v>0</v>
      </c>
      <c r="X17" s="123">
        <f>COUNTIFS(veri!G:G,23,veri!I:I,"&gt;=1400",veri!I:I,"&lt;1500")</f>
        <v>0</v>
      </c>
      <c r="Y17" s="123">
        <f>COUNTIFS(veri!G:G,24,veri!I:I,"&gt;=1400",veri!I:I,"&lt;1500")</f>
        <v>0</v>
      </c>
      <c r="Z17" s="123">
        <f>COUNTIFS(veri!G:G,25,veri!I:I,"&gt;=1400",veri!I:I,"&lt;1500")</f>
        <v>0</v>
      </c>
      <c r="AA17" s="123">
        <f>COUNTIFS(veri!G:G,26,veri!I:I,"&gt;=1400",veri!I:I,"&lt;1500")</f>
        <v>0</v>
      </c>
      <c r="AB17" s="123">
        <f>COUNTIFS(veri!G:G,51,veri!I:I,"&gt;=1400",veri!I:I,"&lt;1500")</f>
        <v>0</v>
      </c>
      <c r="AC17" s="123">
        <f>COUNTIFS(veri!G:G,52,veri!I:I,"&gt;=1400",veri!I:I,"&lt;1500")</f>
        <v>0</v>
      </c>
      <c r="AD17" s="123">
        <f>COUNTIFS(veri!G:G,53,veri!I:I,"&gt;=1400",veri!I:I,"&lt;1500")</f>
        <v>0</v>
      </c>
      <c r="AE17" s="123">
        <f>COUNTIFS(veri!G:G,54,veri!I:I,"&gt;=1400",veri!I:I,"&lt;1500")</f>
        <v>0</v>
      </c>
      <c r="AF17" s="123">
        <f>COUNTIFS(veri!G:G,55,veri!I:I,"&gt;=1400",veri!I:I,"&lt;1500")</f>
        <v>0</v>
      </c>
      <c r="AG17" s="123">
        <f>COUNTIFS(veri!G:G,56,veri!I:I,"&gt;=1400",veri!I:I,"&lt;1500")</f>
        <v>0</v>
      </c>
      <c r="AH17" s="123">
        <f>COUNTIFS(veri!G:G,57,veri!I:I,"&gt;=1400",veri!I:I,"&lt;1500")</f>
        <v>0</v>
      </c>
      <c r="AI17" s="124">
        <f>COUNTIFS(veri!G:G,58,veri!I:I,"&gt;=1400",veri!I:I,"&lt;1500")</f>
        <v>0</v>
      </c>
      <c r="AJ17" s="123">
        <f>COUNTIFS(veri!G:G,59,veri!I:I,"&gt;=1400",veri!I:I,"&lt;1500")</f>
        <v>0</v>
      </c>
      <c r="AK17" s="123">
        <f>COUNTIFS(veri!G:G,60,veri!I:I,"&gt;=1400",veri!I:I,"&lt;1500")</f>
        <v>0</v>
      </c>
      <c r="AL17" s="123">
        <f>COUNTIFS(veri!G:G,61,veri!I:I,"&gt;=1400",veri!I:I,"&lt;1500")</f>
        <v>0</v>
      </c>
      <c r="AM17" s="123">
        <f>COUNTIFS(veri!G:G,62,veri!I:I,"&gt;=1400",veri!I:I,"&lt;1500")</f>
        <v>0</v>
      </c>
      <c r="AN17" s="123">
        <f>COUNTIFS(veri!G:G,63,veri!I:I,"&gt;=1400",veri!I:I,"&lt;1500")</f>
        <v>0</v>
      </c>
      <c r="AO17" s="123">
        <f>COUNTIFS(veri!G:G,64,veri!I:I,"&gt;=1400",veri!I:I,"&lt;1500")</f>
        <v>0</v>
      </c>
      <c r="AP17" s="123">
        <f>COUNTIFS(veri!G:G,65,veri!I:I,"&gt;=1400",veri!I:I,"&lt;1500")</f>
        <v>0</v>
      </c>
      <c r="AQ17" s="123">
        <f>COUNTIFS(veri!G:G,66,veri!I:I,"&gt;=1400",veri!I:I,"&lt;1500")</f>
        <v>0</v>
      </c>
      <c r="AR17" s="123">
        <f>COUNTIFS(veri!G:G,67,veri!I:I,"&gt;=1400",veri!I:I,"&lt;1500")</f>
        <v>0</v>
      </c>
      <c r="AS17" s="123">
        <f>COUNTIFS(veri!G:G,68,veri!I:I,"&gt;=1400",veri!I:I,"&lt;1500")</f>
        <v>0</v>
      </c>
      <c r="AT17" s="123">
        <f>COUNTIFS(veri!G:G,69,veri!I:I,"&gt;=1400",veri!I:I,"&lt;1500")</f>
        <v>0</v>
      </c>
      <c r="AU17" s="123">
        <f>COUNTIFS(veri!G:G,70,veri!I:I,"&gt;=1400",veri!I:I,"&lt;1500")</f>
        <v>0</v>
      </c>
      <c r="AV17" s="123">
        <f>COUNTIFS(veri!G:G,71,veri!I:I,"&gt;=1400",veri!I:I,"&lt;1500")</f>
        <v>0</v>
      </c>
      <c r="AW17" s="123">
        <f>COUNTIFS(veri!G:G,72,veri!I:I,"&gt;=1400",veri!I:I,"&lt;1500")</f>
        <v>0</v>
      </c>
      <c r="AX17" s="123">
        <f>COUNTIFS(veri!G:G,73,veri!I:I,"&gt;=1400",veri!I:I,"&lt;1500")</f>
        <v>0</v>
      </c>
      <c r="AY17" s="123">
        <f>COUNTIFS(veri!G:G,74,veri!I:I,"&gt;=1400",veri!I:I,"&lt;1500")</f>
        <v>0</v>
      </c>
      <c r="AZ17" s="123">
        <f>COUNTIFS(veri!G:G,75,veri!I:I,"&gt;=1400",veri!I:I,"&lt;1500")</f>
        <v>0</v>
      </c>
      <c r="BA17" s="123">
        <f>COUNTIFS(veri!G:G,76,veri!I:I,"&gt;=1400",veri!I:I,"&lt;1500")</f>
        <v>0</v>
      </c>
      <c r="BB17" s="123">
        <f>COUNTIFS(veri!G:G,77,veri!I:I,"&gt;=1400",veri!I:I,"&lt;1500")</f>
        <v>0</v>
      </c>
      <c r="BC17" s="123">
        <f>COUNTIFS(veri!G:G,78,veri!I:I,"&gt;=1400",veri!I:I,"&lt;1500")</f>
        <v>0</v>
      </c>
      <c r="BD17" s="123">
        <f>COUNTIFS(veri!G:G,79,veri!I:I,"&gt;=1400",veri!I:I,"&lt;1500")</f>
        <v>0</v>
      </c>
      <c r="BE17" s="123">
        <f>COUNTIFS(veri!G:G,80,veri!I:I,"&gt;=1400",veri!I:I,"&lt;1500")</f>
        <v>0</v>
      </c>
      <c r="BF17" s="123">
        <f>COUNTIFS(veri!G:G,81,veri!I:I,"&gt;=1400",veri!I:I,"&lt;1500")</f>
        <v>0</v>
      </c>
      <c r="BG17" s="123">
        <f>COUNTIFS(veri!G:G,82,veri!I:I,"&gt;=1400",veri!I:I,"&lt;1500")</f>
        <v>0</v>
      </c>
      <c r="BH17" s="123">
        <f>COUNTIFS(veri!G:G,83,veri!I:I,"&gt;=1400",veri!I:I,"&lt;1500")</f>
        <v>0</v>
      </c>
      <c r="BI17" s="123">
        <f>COUNTIFS(veri!G:G,84,veri!I:I,"&gt;=1400",veri!I:I,"&lt;1500")</f>
        <v>0</v>
      </c>
      <c r="BJ17" s="123">
        <f>COUNTIFS(veri!G:G,85,veri!I:I,"&gt;=1400",veri!I:I,"&lt;1500")</f>
        <v>0</v>
      </c>
      <c r="BK17" s="123">
        <f>COUNTIFS(veri!G:G,86,veri!I:I,"&gt;=1400",veri!I:I,"&lt;1500")</f>
        <v>0</v>
      </c>
      <c r="BL17" s="123">
        <f>COUNTIFS(veri!G:G,87,veri!I:I,"&gt;=1400",veri!I:I,"&lt;1500")</f>
        <v>0</v>
      </c>
      <c r="BM17" s="123">
        <f>COUNTIFS(veri!G:G,88,veri!I:I,"&gt;=1400",veri!I:I,"&lt;1500")</f>
        <v>0</v>
      </c>
      <c r="BN17" s="123">
        <f>COUNTIFS(veri!G:G,89,veri!I:I,"&gt;=1400",veri!I:I,"&lt;1500")</f>
        <v>0</v>
      </c>
      <c r="BO17" s="123">
        <f>COUNTIFS(veri!G:G,90,veri!I:I,"&gt;=1400",veri!I:I,"&lt;1500")</f>
        <v>0</v>
      </c>
      <c r="BP17" s="123">
        <f>COUNTIFS(veri!G:G,91,veri!I:I,"&gt;=1400",veri!I:I,"&lt;1500")</f>
        <v>0</v>
      </c>
      <c r="BQ17" s="123">
        <f>COUNTIFS(veri!G:G,92,veri!I:I,"&gt;=1400",veri!I:I,"&lt;1500")</f>
        <v>0</v>
      </c>
      <c r="BR17" s="123">
        <f>COUNTIFS(veri!G:G,93,veri!I:I,"&gt;=1400",veri!I:I,"&lt;1500")</f>
        <v>0</v>
      </c>
      <c r="BS17" s="123">
        <f>COUNTIFS(veri!G:G,94,veri!I:I,"&gt;=1400",veri!I:I,"&lt;1500")</f>
        <v>0</v>
      </c>
      <c r="BT17" s="123">
        <f>COUNTIFS(veri!G:G,95,veri!I:I,"&gt;=1400",veri!I:I,"&lt;1500")</f>
        <v>0</v>
      </c>
      <c r="BU17" s="123">
        <f>COUNTIFS(veri!G:G,96,veri!I:I,"&gt;=1400",veri!I:I,"&lt;1500")</f>
        <v>0</v>
      </c>
      <c r="BV17" s="123">
        <f>COUNTIFS(veri!G:G,97,veri!I:I,"&gt;=1400",veri!I:I,"&lt;1500")</f>
        <v>0</v>
      </c>
      <c r="BW17" s="123">
        <f>COUNTIFS(veri!G:G,98,veri!I:I,"&gt;=1400",veri!I:I,"&lt;1500")</f>
        <v>0</v>
      </c>
      <c r="BX17" s="123">
        <f>COUNTIFS(veri!G:G,99,veri!I:I,"&gt;=1400",veri!I:I,"&lt;1500")</f>
        <v>0</v>
      </c>
      <c r="BY17" s="123">
        <f>COUNTIFS(veri!G:G,100,veri!I:I,"&gt;=1400",veri!I:I,"&lt;1500")</f>
        <v>0</v>
      </c>
      <c r="BZ17" s="123">
        <f>COUNTIFS(veri!G:G,101,veri!I:I,"&gt;=1400",veri!I:I,"&lt;1500")</f>
        <v>0</v>
      </c>
      <c r="CA17" s="123">
        <f>COUNTIFS(veri!G:G,102,veri!I:I,"&gt;=1400",veri!I:I,"&lt;1500")</f>
        <v>0</v>
      </c>
      <c r="CB17" s="123">
        <f>COUNTIFS(veri!G:G,103,veri!I:I,"&gt;=1400",veri!I:I,"&lt;1500")</f>
        <v>0</v>
      </c>
      <c r="CC17" s="123">
        <f>COUNTIFS(veri!G:G,104,veri!I:I,"&gt;=1400",veri!I:I,"&lt;1500")</f>
        <v>0</v>
      </c>
      <c r="CD17" s="123">
        <f>COUNTIFS(veri!G:G,105,veri!I:I,"&gt;=1400",veri!I:I,"&lt;1500")</f>
        <v>0</v>
      </c>
      <c r="CE17" s="121">
        <f t="shared" si="0"/>
        <v>0</v>
      </c>
      <c r="CF17" s="121">
        <f t="shared" si="1"/>
        <v>0</v>
      </c>
      <c r="CG17" s="121">
        <f t="shared" si="2"/>
        <v>0</v>
      </c>
      <c r="CH17" s="129">
        <f>IFERROR(CG17/CG24*100,0)</f>
        <v>0</v>
      </c>
      <c r="CI17" s="14"/>
      <c r="CJ17" s="14"/>
      <c r="CK17" s="14"/>
    </row>
    <row r="18" spans="1:89" ht="13.5" customHeight="1" x14ac:dyDescent="0.15">
      <c r="A18" s="120" t="s">
        <v>688</v>
      </c>
      <c r="B18" s="116">
        <f>COUNTIFS(veri!G:G,1,veri!I:I,"&gt;=1500",veri!I:I,"&lt;1600")</f>
        <v>0</v>
      </c>
      <c r="C18" s="116">
        <f>COUNTIFS(veri!G:G,2,veri!I:I,"&gt;=1500",veri!I:I,"&lt;1600")</f>
        <v>0</v>
      </c>
      <c r="D18" s="116">
        <f>COUNTIFS(veri!G:G,3,veri!I:I,"&gt;=1500",veri!I:I,"&lt;1600")</f>
        <v>0</v>
      </c>
      <c r="E18" s="116">
        <f>COUNTIFS(veri!G:G,4,veri!I:I,"&gt;=1500",veri!I:I,"&lt;1600")</f>
        <v>0</v>
      </c>
      <c r="F18" s="116">
        <f>COUNTIFS(veri!G:G,5,veri!I:I,"&gt;=1500",veri!I:I,"&lt;1600")</f>
        <v>0</v>
      </c>
      <c r="G18" s="116">
        <f>COUNTIFS(veri!G:G,6,veri!I:I,"&gt;=1500",veri!I:I,"&lt;1600")</f>
        <v>0</v>
      </c>
      <c r="H18" s="116">
        <f>COUNTIFS(veri!G:G,7,veri!I:I,"&gt;=1500",veri!I:I,"&lt;1600")</f>
        <v>0</v>
      </c>
      <c r="I18" s="116">
        <f>COUNTIFS(veri!G:G,8,veri!I:I,"&gt;=1500",veri!I:I,"&lt;1600")</f>
        <v>0</v>
      </c>
      <c r="J18" s="116">
        <f>COUNTIFS(veri!G:G,9,veri!I:I,"&gt;=1500",veri!I:I,"&lt;1600")</f>
        <v>0</v>
      </c>
      <c r="K18" s="116">
        <f>COUNTIFS(veri!G:G,10,veri!I:I,"&gt;=1500",veri!I:I,"&lt;1600")</f>
        <v>0</v>
      </c>
      <c r="L18" s="116">
        <f>COUNTIFS(veri!G:G,11,veri!I:I,"&gt;=1500",veri!I:I,"&lt;1600")</f>
        <v>0</v>
      </c>
      <c r="M18" s="116">
        <f>COUNTIFS(veri!G:G,12,veri!I:I,"&gt;=1500",veri!I:I,"&lt;1600")</f>
        <v>0</v>
      </c>
      <c r="N18" s="116">
        <f>COUNTIFS(veri!G:G,13,veri!I:I,"&gt;=1500",veri!I:I,"&lt;1600")</f>
        <v>0</v>
      </c>
      <c r="O18" s="116">
        <f>COUNTIFS(veri!G:G,14,veri!I:I,"&gt;=1500",veri!I:I,"&lt;1600")</f>
        <v>0</v>
      </c>
      <c r="P18" s="116">
        <f>COUNTIFS(veri!G:G,15,veri!I:I,"&gt;=1500",veri!I:I,"&lt;1600")</f>
        <v>0</v>
      </c>
      <c r="Q18" s="116">
        <f>COUNTIFS(veri!G:G,16,veri!I:I,"&gt;=1500",veri!I:I,"&lt;1600")</f>
        <v>0</v>
      </c>
      <c r="R18" s="116">
        <f>COUNTIFS(veri!G:G,17,veri!I:I,"&gt;=1500",veri!I:I,"&lt;1600")</f>
        <v>0</v>
      </c>
      <c r="S18" s="116">
        <f>COUNTIFS(veri!G:G,18,veri!I:I,"&gt;=1500",veri!I:I,"&lt;1600")</f>
        <v>0</v>
      </c>
      <c r="T18" s="116">
        <f>COUNTIFS(veri!G:G,19,veri!I:I,"&gt;=1500",veri!I:I,"&lt;1600")</f>
        <v>0</v>
      </c>
      <c r="U18" s="116">
        <f>COUNTIFS(veri!G:G,20,veri!I:I,"&gt;=1500",veri!I:I,"&lt;1600")</f>
        <v>0</v>
      </c>
      <c r="V18" s="116">
        <f>COUNTIFS(veri!G:G,21,veri!I:I,"&gt;=1500",veri!I:I,"&lt;1600")</f>
        <v>0</v>
      </c>
      <c r="W18" s="116">
        <f>COUNTIFS(veri!G:G,22,veri!I:I,"&gt;=1500",veri!I:I,"&lt;1600")</f>
        <v>0</v>
      </c>
      <c r="X18" s="116">
        <f>COUNTIFS(veri!G:G,23,veri!I:I,"&gt;=1500",veri!I:I,"&lt;1600")</f>
        <v>0</v>
      </c>
      <c r="Y18" s="116">
        <f>COUNTIFS(veri!G:G,24,veri!I:I,"&gt;=1500",veri!I:I,"&lt;1600")</f>
        <v>0</v>
      </c>
      <c r="Z18" s="116">
        <f>COUNTIFS(veri!G:G,25,veri!I:I,"&gt;=1500",veri!I:I,"&lt;1600")</f>
        <v>0</v>
      </c>
      <c r="AA18" s="116">
        <f>COUNTIFS(veri!G:G,26,veri!I:I,"&gt;=1500",veri!I:I,"&lt;1600")</f>
        <v>0</v>
      </c>
      <c r="AB18" s="116">
        <f>COUNTIFS(veri!G:G,51,veri!I:I,"&gt;=1500",veri!I:I,"&lt;1600")</f>
        <v>0</v>
      </c>
      <c r="AC18" s="116">
        <f>COUNTIFS(veri!G:G,52,veri!I:I,"&gt;=1500",veri!I:I,"&lt;1600")</f>
        <v>0</v>
      </c>
      <c r="AD18" s="116">
        <f>COUNTIFS(veri!G:G,53,veri!I:I,"&gt;=1500",veri!I:I,"&lt;1600")</f>
        <v>0</v>
      </c>
      <c r="AE18" s="116">
        <f>COUNTIFS(veri!G:G,54,veri!I:I,"&gt;=1500",veri!I:I,"&lt;1600")</f>
        <v>0</v>
      </c>
      <c r="AF18" s="116">
        <f>COUNTIFS(veri!G:G,55,veri!I:I,"&gt;=1500",veri!I:I,"&lt;1600")</f>
        <v>0</v>
      </c>
      <c r="AG18" s="116">
        <f>COUNTIFS(veri!G:G,56,veri!I:I,"&gt;=1500",veri!I:I,"&lt;1600")</f>
        <v>0</v>
      </c>
      <c r="AH18" s="116">
        <f>COUNTIFS(veri!G:G,57,veri!I:I,"&gt;=1500",veri!I:I,"&lt;1600")</f>
        <v>0</v>
      </c>
      <c r="AI18" s="127">
        <f>COUNTIFS(veri!G:G,58,veri!I:I,"&gt;=1500",veri!I:I,"&lt;1600")</f>
        <v>0</v>
      </c>
      <c r="AJ18" s="116">
        <f>COUNTIFS(veri!G:G,59,veri!I:I,"&gt;=1500",veri!I:I,"&lt;1600")</f>
        <v>0</v>
      </c>
      <c r="AK18" s="116">
        <f>COUNTIFS(veri!G:G,60,veri!I:I,"&gt;=1500",veri!I:I,"&lt;1600")</f>
        <v>0</v>
      </c>
      <c r="AL18" s="116">
        <f>COUNTIFS(veri!G:G,61,veri!I:I,"&gt;=1500",veri!I:I,"&lt;1600")</f>
        <v>0</v>
      </c>
      <c r="AM18" s="116">
        <f>COUNTIFS(veri!G:G,62,veri!I:I,"&gt;=1500",veri!I:I,"&lt;1600")</f>
        <v>0</v>
      </c>
      <c r="AN18" s="116">
        <f>COUNTIFS(veri!G:G,63,veri!I:I,"&gt;=1500",veri!I:I,"&lt;1600")</f>
        <v>0</v>
      </c>
      <c r="AO18" s="116">
        <f>COUNTIFS(veri!G:G,64,veri!I:I,"&gt;=1500",veri!I:I,"&lt;1600")</f>
        <v>0</v>
      </c>
      <c r="AP18" s="116">
        <f>COUNTIFS(veri!G:G,65,veri!I:I,"&gt;=1500",veri!I:I,"&lt;1600")</f>
        <v>0</v>
      </c>
      <c r="AQ18" s="116">
        <f>COUNTIFS(veri!G:G,66,veri!I:I,"&gt;=1500",veri!I:I,"&lt;1600")</f>
        <v>0</v>
      </c>
      <c r="AR18" s="116">
        <f>COUNTIFS(veri!G:G,67,veri!I:I,"&gt;=1500",veri!I:I,"&lt;1600")</f>
        <v>0</v>
      </c>
      <c r="AS18" s="116">
        <f>COUNTIFS(veri!G:G,68,veri!I:I,"&gt;=1500",veri!I:I,"&lt;1600")</f>
        <v>0</v>
      </c>
      <c r="AT18" s="116">
        <f>COUNTIFS(veri!G:G,69,veri!I:I,"&gt;=1500",veri!I:I,"&lt;1600")</f>
        <v>0</v>
      </c>
      <c r="AU18" s="116">
        <f>COUNTIFS(veri!G:G,70,veri!I:I,"&gt;=1500",veri!I:I,"&lt;1600")</f>
        <v>0</v>
      </c>
      <c r="AV18" s="116">
        <f>COUNTIFS(veri!G:G,71,veri!I:I,"&gt;=1500",veri!I:I,"&lt;1600")</f>
        <v>0</v>
      </c>
      <c r="AW18" s="116">
        <f>COUNTIFS(veri!G:G,72,veri!I:I,"&gt;=1500",veri!I:I,"&lt;1600")</f>
        <v>0</v>
      </c>
      <c r="AX18" s="116">
        <f>COUNTIFS(veri!G:G,73,veri!I:I,"&gt;=1500",veri!I:I,"&lt;1600")</f>
        <v>0</v>
      </c>
      <c r="AY18" s="116">
        <f>COUNTIFS(veri!G:G,74,veri!I:I,"&gt;=1500",veri!I:I,"&lt;1600")</f>
        <v>0</v>
      </c>
      <c r="AZ18" s="116">
        <f>COUNTIFS(veri!G:G,75,veri!I:I,"&gt;=1500",veri!I:I,"&lt;1600")</f>
        <v>0</v>
      </c>
      <c r="BA18" s="116">
        <f>COUNTIFS(veri!G:G,76,veri!I:I,"&gt;=1500",veri!I:I,"&lt;1600")</f>
        <v>0</v>
      </c>
      <c r="BB18" s="116">
        <f>COUNTIFS(veri!G:G,77,veri!I:I,"&gt;=1500",veri!I:I,"&lt;1600")</f>
        <v>0</v>
      </c>
      <c r="BC18" s="116">
        <f>COUNTIFS(veri!G:G,78,veri!I:I,"&gt;=1500",veri!I:I,"&lt;1600")</f>
        <v>0</v>
      </c>
      <c r="BD18" s="116">
        <f>COUNTIFS(veri!G:G,79,veri!I:I,"&gt;=1500",veri!I:I,"&lt;1600")</f>
        <v>0</v>
      </c>
      <c r="BE18" s="116">
        <f>COUNTIFS(veri!G:G,80,veri!I:I,"&gt;=1500",veri!I:I,"&lt;1600")</f>
        <v>0</v>
      </c>
      <c r="BF18" s="116">
        <f>COUNTIFS(veri!G:G,81,veri!I:I,"&gt;=1500",veri!I:I,"&lt;1600")</f>
        <v>0</v>
      </c>
      <c r="BG18" s="116">
        <f>COUNTIFS(veri!G:G,82,veri!I:I,"&gt;=1500",veri!I:I,"&lt;1600")</f>
        <v>0</v>
      </c>
      <c r="BH18" s="116">
        <f>COUNTIFS(veri!G:G,83,veri!I:I,"&gt;=1500",veri!I:I,"&lt;1600")</f>
        <v>0</v>
      </c>
      <c r="BI18" s="116">
        <f>COUNTIFS(veri!G:G,84,veri!I:I,"&gt;=1500",veri!I:I,"&lt;1600")</f>
        <v>0</v>
      </c>
      <c r="BJ18" s="116">
        <f>COUNTIFS(veri!G:G,85,veri!I:I,"&gt;=1500",veri!I:I,"&lt;1600")</f>
        <v>0</v>
      </c>
      <c r="BK18" s="116">
        <f>COUNTIFS(veri!G:G,86,veri!I:I,"&gt;=1500",veri!I:I,"&lt;1600")</f>
        <v>0</v>
      </c>
      <c r="BL18" s="116">
        <f>COUNTIFS(veri!G:G,87,veri!I:I,"&gt;=1500",veri!I:I,"&lt;1600")</f>
        <v>0</v>
      </c>
      <c r="BM18" s="116">
        <f>COUNTIFS(veri!G:G,88,veri!I:I,"&gt;=1500",veri!I:I,"&lt;1600")</f>
        <v>0</v>
      </c>
      <c r="BN18" s="116">
        <f>COUNTIFS(veri!G:G,89,veri!I:I,"&gt;=1500",veri!I:I,"&lt;1600")</f>
        <v>0</v>
      </c>
      <c r="BO18" s="116">
        <f>COUNTIFS(veri!G:G,90,veri!I:I,"&gt;=1500",veri!I:I,"&lt;1600")</f>
        <v>0</v>
      </c>
      <c r="BP18" s="116">
        <f>COUNTIFS(veri!G:G,91,veri!I:I,"&gt;=1500",veri!I:I,"&lt;1600")</f>
        <v>0</v>
      </c>
      <c r="BQ18" s="116">
        <f>COUNTIFS(veri!G:G,92,veri!I:I,"&gt;=1500",veri!I:I,"&lt;1600")</f>
        <v>0</v>
      </c>
      <c r="BR18" s="116">
        <f>COUNTIFS(veri!G:G,93,veri!I:I,"&gt;=1500",veri!I:I,"&lt;1600")</f>
        <v>0</v>
      </c>
      <c r="BS18" s="116">
        <f>COUNTIFS(veri!G:G,94,veri!I:I,"&gt;=1500",veri!I:I,"&lt;1600")</f>
        <v>0</v>
      </c>
      <c r="BT18" s="116">
        <f>COUNTIFS(veri!G:G,95,veri!I:I,"&gt;=1500",veri!I:I,"&lt;1600")</f>
        <v>0</v>
      </c>
      <c r="BU18" s="116">
        <f>COUNTIFS(veri!G:G,96,veri!I:I,"&gt;=1500",veri!I:I,"&lt;1600")</f>
        <v>0</v>
      </c>
      <c r="BV18" s="116">
        <f>COUNTIFS(veri!G:G,97,veri!I:I,"&gt;=1500",veri!I:I,"&lt;1600")</f>
        <v>0</v>
      </c>
      <c r="BW18" s="116">
        <f>COUNTIFS(veri!G:G,98,veri!I:I,"&gt;=1500",veri!I:I,"&lt;1600")</f>
        <v>0</v>
      </c>
      <c r="BX18" s="116">
        <f>COUNTIFS(veri!G:G,99,veri!I:I,"&gt;=1500",veri!I:I,"&lt;1600")</f>
        <v>0</v>
      </c>
      <c r="BY18" s="116">
        <f>COUNTIFS(veri!G:G,100,veri!I:I,"&gt;=1500",veri!I:I,"&lt;1600")</f>
        <v>0</v>
      </c>
      <c r="BZ18" s="116">
        <f>COUNTIFS(veri!G:G,101,veri!I:I,"&gt;=1500",veri!I:I,"&lt;1600")</f>
        <v>0</v>
      </c>
      <c r="CA18" s="116">
        <f>COUNTIFS(veri!G:G,102,veri!I:I,"&gt;=1500",veri!I:I,"&lt;1600")</f>
        <v>0</v>
      </c>
      <c r="CB18" s="116">
        <f>COUNTIFS(veri!G:G,103,veri!I:I,"&gt;=1500",veri!I:I,"&lt;1600")</f>
        <v>0</v>
      </c>
      <c r="CC18" s="116">
        <f>COUNTIFS(veri!G:G,104,veri!I:I,"&gt;=1500",veri!I:I,"&lt;1600")</f>
        <v>0</v>
      </c>
      <c r="CD18" s="116">
        <f>COUNTIFS(veri!G:G,105,veri!I:I,"&gt;=1500",veri!I:I,"&lt;1600")</f>
        <v>0</v>
      </c>
      <c r="CE18" s="121">
        <f t="shared" si="0"/>
        <v>0</v>
      </c>
      <c r="CF18" s="121">
        <f t="shared" si="1"/>
        <v>0</v>
      </c>
      <c r="CG18" s="121">
        <f t="shared" si="2"/>
        <v>0</v>
      </c>
      <c r="CH18" s="129">
        <f>IFERROR(CG18/CG24*100,0)</f>
        <v>0</v>
      </c>
      <c r="CI18" s="14"/>
      <c r="CJ18" s="14"/>
      <c r="CK18" s="14"/>
    </row>
    <row r="19" spans="1:89" s="108" customFormat="1" ht="13.5" customHeight="1" x14ac:dyDescent="0.15">
      <c r="A19" s="122" t="s">
        <v>689</v>
      </c>
      <c r="B19" s="123">
        <f>COUNTIFS(veri!G:G,1,veri!I:I,"&gt;=1600",veri!I:I,"&lt;1700")</f>
        <v>0</v>
      </c>
      <c r="C19" s="124">
        <f>COUNTIFS(veri!G:G,2,veri!I:I,"&gt;=1600",veri!I:I,"&lt;1700")</f>
        <v>0</v>
      </c>
      <c r="D19" s="124">
        <f>COUNTIFS(veri!G:G,3,veri!I:I,"&gt;=1600",veri!I:I,"&lt;1700")</f>
        <v>0</v>
      </c>
      <c r="E19" s="123">
        <f>COUNTIFS(veri!G:G,4,veri!I:I,"&gt;=1600",veri!I:I,"&lt;1700")</f>
        <v>0</v>
      </c>
      <c r="F19" s="123">
        <f>COUNTIFS(veri!G:G,5,veri!I:I,"&gt;=1600",veri!I:I,"&lt;1700")</f>
        <v>0</v>
      </c>
      <c r="G19" s="123">
        <f>COUNTIFS(veri!G:G,6,veri!I:I,"&gt;=1600",veri!I:I,"&lt;1700")</f>
        <v>0</v>
      </c>
      <c r="H19" s="123">
        <f>COUNTIFS(veri!G:G,7,veri!I:I,"&gt;=1600",veri!I:I,"&lt;1700")</f>
        <v>0</v>
      </c>
      <c r="I19" s="123">
        <f>COUNTIFS(veri!G:G,8,veri!I:I,"&gt;=1600",veri!I:I,"&lt;1700")</f>
        <v>0</v>
      </c>
      <c r="J19" s="123">
        <f>COUNTIFS(veri!G:G,9,veri!I:I,"&gt;=1600",veri!I:I,"&lt;1700")</f>
        <v>0</v>
      </c>
      <c r="K19" s="123">
        <f>COUNTIFS(veri!G:G,10,veri!I:I,"&gt;=1600",veri!I:I,"&lt;1700")</f>
        <v>0</v>
      </c>
      <c r="L19" s="123">
        <f>COUNTIFS(veri!G:G,11,veri!I:I,"&gt;=1600",veri!I:I,"&lt;1700")</f>
        <v>0</v>
      </c>
      <c r="M19" s="123">
        <f>COUNTIFS(veri!G:G,12,veri!I:I,"&gt;=1600",veri!I:I,"&lt;1700")</f>
        <v>0</v>
      </c>
      <c r="N19" s="123">
        <f>COUNTIFS(veri!G:G,13,veri!I:I,"&gt;=1600",veri!I:I,"&lt;1700")</f>
        <v>0</v>
      </c>
      <c r="O19" s="123">
        <f>COUNTIFS(veri!G:G,14,veri!I:I,"&gt;=1600",veri!I:I,"&lt;1700")</f>
        <v>0</v>
      </c>
      <c r="P19" s="123">
        <f>COUNTIFS(veri!G:G,15,veri!I:I,"&gt;=1600",veri!I:I,"&lt;1700")</f>
        <v>0</v>
      </c>
      <c r="Q19" s="123">
        <f>COUNTIFS(veri!G:G,16,veri!I:I,"&gt;=1600",veri!I:I,"&lt;1700")</f>
        <v>0</v>
      </c>
      <c r="R19" s="123">
        <f>COUNTIFS(veri!G:G,17,veri!I:I,"&gt;=1600",veri!I:I,"&lt;1700")</f>
        <v>0</v>
      </c>
      <c r="S19" s="123">
        <f>COUNTIFS(veri!G:G,18,veri!I:I,"&gt;=1600",veri!I:I,"&lt;1700")</f>
        <v>0</v>
      </c>
      <c r="T19" s="123">
        <f>COUNTIFS(veri!G:G,19,veri!I:I,"&gt;=1600",veri!I:I,"&lt;1700")</f>
        <v>0</v>
      </c>
      <c r="U19" s="123">
        <f>COUNTIFS(veri!G:G,20,veri!I:I,"&gt;=1600",veri!I:I,"&lt;1700")</f>
        <v>0</v>
      </c>
      <c r="V19" s="123">
        <f>COUNTIFS(veri!G:G,21,veri!I:I,"&gt;=1600",veri!I:I,"&lt;1700")</f>
        <v>0</v>
      </c>
      <c r="W19" s="123">
        <f>COUNTIFS(veri!G:G,22,veri!I:I,"&gt;=1600",veri!I:I,"&lt;1700")</f>
        <v>0</v>
      </c>
      <c r="X19" s="123">
        <f>COUNTIFS(veri!G:G,23,veri!I:I,"&gt;=1600",veri!I:I,"&lt;1700")</f>
        <v>0</v>
      </c>
      <c r="Y19" s="123">
        <f>COUNTIFS(veri!G:G,24,veri!I:I,"&gt;=1600",veri!I:I,"&lt;1700")</f>
        <v>0</v>
      </c>
      <c r="Z19" s="123">
        <f>COUNTIFS(veri!G:G,25,veri!I:I,"&gt;=1600",veri!I:I,"&lt;1700")</f>
        <v>0</v>
      </c>
      <c r="AA19" s="123">
        <f>COUNTIFS(veri!G:G,26,veri!I:I,"&gt;=1600",veri!I:I,"&lt;1700")</f>
        <v>0</v>
      </c>
      <c r="AB19" s="123">
        <f>COUNTIFS(veri!G:G,51,veri!I:I,"&gt;=1600",veri!I:I,"&lt;1700")</f>
        <v>0</v>
      </c>
      <c r="AC19" s="123">
        <f>COUNTIFS(veri!G:G,52,veri!I:I,"&gt;=1600",veri!I:I,"&lt;1700")</f>
        <v>0</v>
      </c>
      <c r="AD19" s="123">
        <f>COUNTIFS(veri!G:G,53,veri!I:I,"&gt;=1600",veri!I:I,"&lt;1700")</f>
        <v>0</v>
      </c>
      <c r="AE19" s="123">
        <f>COUNTIFS(veri!G:G,54,veri!I:I,"&gt;=1600",veri!I:I,"&lt;1700")</f>
        <v>0</v>
      </c>
      <c r="AF19" s="123">
        <f>COUNTIFS(veri!G:G,55,veri!I:I,"&gt;=1600",veri!I:I,"&lt;1700")</f>
        <v>0</v>
      </c>
      <c r="AG19" s="123">
        <f>COUNTIFS(veri!G:G,56,veri!I:I,"&gt;=1600",veri!I:I,"&lt;1700")</f>
        <v>0</v>
      </c>
      <c r="AH19" s="123">
        <f>COUNTIFS(veri!G:G,57,veri!I:I,"&gt;=1600",veri!I:I,"&lt;1700")</f>
        <v>0</v>
      </c>
      <c r="AI19" s="124">
        <f>COUNTIFS(veri!G:G,58,veri!I:I,"&gt;=1600",veri!I:I,"&lt;1700")</f>
        <v>0</v>
      </c>
      <c r="AJ19" s="123">
        <f>COUNTIFS(veri!G:G,59,veri!I:I,"&gt;=1600",veri!I:I,"&lt;1700")</f>
        <v>0</v>
      </c>
      <c r="AK19" s="123">
        <f>COUNTIFS(veri!G:G,60,veri!I:I,"&gt;=1600",veri!I:I,"&lt;1700")</f>
        <v>0</v>
      </c>
      <c r="AL19" s="123">
        <f>COUNTIFS(veri!G:G,61,veri!I:I,"&gt;=1600",veri!I:I,"&lt;1700")</f>
        <v>0</v>
      </c>
      <c r="AM19" s="123">
        <f>COUNTIFS(veri!G:G,62,veri!I:I,"&gt;=1600",veri!I:I,"&lt;1700")</f>
        <v>0</v>
      </c>
      <c r="AN19" s="123">
        <f>COUNTIFS(veri!G:G,63,veri!I:I,"&gt;=1600",veri!I:I,"&lt;1700")</f>
        <v>0</v>
      </c>
      <c r="AO19" s="123">
        <f>COUNTIFS(veri!G:G,64,veri!I:I,"&gt;=1600",veri!I:I,"&lt;1700")</f>
        <v>0</v>
      </c>
      <c r="AP19" s="123">
        <f>COUNTIFS(veri!G:G,65,veri!I:I,"&gt;=1600",veri!I:I,"&lt;1700")</f>
        <v>0</v>
      </c>
      <c r="AQ19" s="123">
        <f>COUNTIFS(veri!G:G,66,veri!I:I,"&gt;=1600",veri!I:I,"&lt;1700")</f>
        <v>0</v>
      </c>
      <c r="AR19" s="123">
        <f>COUNTIFS(veri!G:G,67,veri!I:I,"&gt;=1600",veri!I:I,"&lt;1700")</f>
        <v>0</v>
      </c>
      <c r="AS19" s="123">
        <f>COUNTIFS(veri!G:G,68,veri!I:I,"&gt;=1600",veri!I:I,"&lt;1700")</f>
        <v>0</v>
      </c>
      <c r="AT19" s="123">
        <f>COUNTIFS(veri!G:G,69,veri!I:I,"&gt;=1600",veri!I:I,"&lt;1700")</f>
        <v>0</v>
      </c>
      <c r="AU19" s="123">
        <f>COUNTIFS(veri!G:G,70,veri!I:I,"&gt;=1600",veri!I:I,"&lt;1700")</f>
        <v>0</v>
      </c>
      <c r="AV19" s="123">
        <f>COUNTIFS(veri!G:G,71,veri!I:I,"&gt;=1600",veri!I:I,"&lt;1700")</f>
        <v>0</v>
      </c>
      <c r="AW19" s="123">
        <f>COUNTIFS(veri!G:G,72,veri!I:I,"&gt;=1600",veri!I:I,"&lt;1700")</f>
        <v>0</v>
      </c>
      <c r="AX19" s="123">
        <f>COUNTIFS(veri!G:G,73,veri!I:I,"&gt;=1600",veri!I:I,"&lt;1700")</f>
        <v>0</v>
      </c>
      <c r="AY19" s="123">
        <f>COUNTIFS(veri!G:G,74,veri!I:I,"&gt;=1600",veri!I:I,"&lt;1700")</f>
        <v>0</v>
      </c>
      <c r="AZ19" s="123">
        <f>COUNTIFS(veri!G:G,75,veri!I:I,"&gt;=1600",veri!I:I,"&lt;1700")</f>
        <v>0</v>
      </c>
      <c r="BA19" s="123">
        <f>COUNTIFS(veri!G:G,76,veri!I:I,"&gt;=1600",veri!I:I,"&lt;1700")</f>
        <v>0</v>
      </c>
      <c r="BB19" s="123">
        <f>COUNTIFS(veri!G:G,77,veri!I:I,"&gt;=1600",veri!I:I,"&lt;1700")</f>
        <v>0</v>
      </c>
      <c r="BC19" s="123">
        <f>COUNTIFS(veri!G:G,78,veri!I:I,"&gt;=1600",veri!I:I,"&lt;1700")</f>
        <v>0</v>
      </c>
      <c r="BD19" s="123">
        <f>COUNTIFS(veri!G:G,79,veri!I:I,"&gt;=1600",veri!I:I,"&lt;1700")</f>
        <v>0</v>
      </c>
      <c r="BE19" s="123">
        <f>COUNTIFS(veri!G:G,80,veri!I:I,"&gt;=1600",veri!I:I,"&lt;1700")</f>
        <v>0</v>
      </c>
      <c r="BF19" s="123">
        <f>COUNTIFS(veri!G:G,81,veri!I:I,"&gt;=1600",veri!I:I,"&lt;1700")</f>
        <v>0</v>
      </c>
      <c r="BG19" s="123">
        <f>COUNTIFS(veri!G:G,82,veri!I:I,"&gt;=1600",veri!I:I,"&lt;1700")</f>
        <v>0</v>
      </c>
      <c r="BH19" s="123">
        <f>COUNTIFS(veri!G:G,83,veri!I:I,"&gt;=1600",veri!I:I,"&lt;1700")</f>
        <v>0</v>
      </c>
      <c r="BI19" s="123">
        <f>COUNTIFS(veri!G:G,84,veri!I:I,"&gt;=1600",veri!I:I,"&lt;1700")</f>
        <v>0</v>
      </c>
      <c r="BJ19" s="123">
        <f>COUNTIFS(veri!G:G,85,veri!I:I,"&gt;=1600",veri!I:I,"&lt;1700")</f>
        <v>0</v>
      </c>
      <c r="BK19" s="123">
        <f>COUNTIFS(veri!G:G,86,veri!I:I,"&gt;=1600",veri!I:I,"&lt;1700")</f>
        <v>0</v>
      </c>
      <c r="BL19" s="123">
        <f>COUNTIFS(veri!G:G,87,veri!I:I,"&gt;=1600",veri!I:I,"&lt;1700")</f>
        <v>0</v>
      </c>
      <c r="BM19" s="123">
        <f>COUNTIFS(veri!G:G,88,veri!I:I,"&gt;=1600",veri!I:I,"&lt;1700")</f>
        <v>0</v>
      </c>
      <c r="BN19" s="123">
        <f>COUNTIFS(veri!G:G,89,veri!I:I,"&gt;=1600",veri!I:I,"&lt;1700")</f>
        <v>0</v>
      </c>
      <c r="BO19" s="123">
        <f>COUNTIFS(veri!G:G,90,veri!I:I,"&gt;=1600",veri!I:I,"&lt;1700")</f>
        <v>0</v>
      </c>
      <c r="BP19" s="123">
        <f>COUNTIFS(veri!G:G,91,veri!I:I,"&gt;=1600",veri!I:I,"&lt;1700")</f>
        <v>0</v>
      </c>
      <c r="BQ19" s="123">
        <f>COUNTIFS(veri!G:G,92,veri!I:I,"&gt;=1600",veri!I:I,"&lt;1700")</f>
        <v>0</v>
      </c>
      <c r="BR19" s="123">
        <f>COUNTIFS(veri!G:G,93,veri!I:I,"&gt;=1600",veri!I:I,"&lt;1700")</f>
        <v>0</v>
      </c>
      <c r="BS19" s="123">
        <f>COUNTIFS(veri!G:G,94,veri!I:I,"&gt;=1600",veri!I:I,"&lt;1700")</f>
        <v>0</v>
      </c>
      <c r="BT19" s="123">
        <f>COUNTIFS(veri!G:G,95,veri!I:I,"&gt;=1600",veri!I:I,"&lt;1700")</f>
        <v>0</v>
      </c>
      <c r="BU19" s="123">
        <f>COUNTIFS(veri!G:G,96,veri!I:I,"&gt;=1600",veri!I:I,"&lt;1700")</f>
        <v>0</v>
      </c>
      <c r="BV19" s="123">
        <f>COUNTIFS(veri!G:G,97,veri!I:I,"&gt;=1600",veri!I:I,"&lt;1700")</f>
        <v>0</v>
      </c>
      <c r="BW19" s="123">
        <f>COUNTIFS(veri!G:G,98,veri!I:I,"&gt;=1600",veri!I:I,"&lt;1700")</f>
        <v>0</v>
      </c>
      <c r="BX19" s="123">
        <f>COUNTIFS(veri!G:G,99,veri!I:I,"&gt;=1600",veri!I:I,"&lt;1700")</f>
        <v>0</v>
      </c>
      <c r="BY19" s="123">
        <f>COUNTIFS(veri!G:G,100,veri!I:I,"&gt;=1600",veri!I:I,"&lt;1700")</f>
        <v>0</v>
      </c>
      <c r="BZ19" s="123">
        <f>COUNTIFS(veri!G:G,101,veri!I:I,"&gt;=1600",veri!I:I,"&lt;1700")</f>
        <v>0</v>
      </c>
      <c r="CA19" s="123">
        <f>COUNTIFS(veri!G:G,102,veri!I:I,"&gt;=1600",veri!I:I,"&lt;1700")</f>
        <v>0</v>
      </c>
      <c r="CB19" s="123">
        <f>COUNTIFS(veri!G:G,103,veri!I:I,"&gt;=1600",veri!I:I,"&lt;1700")</f>
        <v>0</v>
      </c>
      <c r="CC19" s="123">
        <f>COUNTIFS(veri!G:G,104,veri!I:I,"&gt;=1600",veri!I:I,"&lt;1700")</f>
        <v>0</v>
      </c>
      <c r="CD19" s="123">
        <f>COUNTIFS(veri!G:G,105,veri!I:I,"&gt;=1600",veri!I:I,"&lt;1700")</f>
        <v>0</v>
      </c>
      <c r="CE19" s="121">
        <f t="shared" si="0"/>
        <v>0</v>
      </c>
      <c r="CF19" s="121">
        <f t="shared" si="1"/>
        <v>0</v>
      </c>
      <c r="CG19" s="121">
        <f t="shared" si="2"/>
        <v>0</v>
      </c>
      <c r="CH19" s="129">
        <f>IFERROR(CG19/CG24*100,0)</f>
        <v>0</v>
      </c>
      <c r="CI19" s="14"/>
      <c r="CJ19" s="14"/>
      <c r="CK19" s="14"/>
    </row>
    <row r="20" spans="1:89" ht="13.5" customHeight="1" x14ac:dyDescent="0.15">
      <c r="A20" s="120" t="s">
        <v>690</v>
      </c>
      <c r="B20" s="116">
        <f>COUNTIFS(veri!G:G,1,veri!I:I,"&gt;=1700",veri!I:I,"&lt;1800")</f>
        <v>0</v>
      </c>
      <c r="C20" s="116">
        <f>COUNTIFS(veri!G:G,2,veri!I:I,"&gt;=1700",veri!I:I,"&lt;1800")</f>
        <v>0</v>
      </c>
      <c r="D20" s="116">
        <f>COUNTIFS(veri!G:G,3,veri!I:I,"&gt;=1700",veri!I:I,"&lt;1800")</f>
        <v>0</v>
      </c>
      <c r="E20" s="116">
        <f>COUNTIFS(veri!G:G,4,veri!I:I,"&gt;=1700",veri!I:I,"&lt;1800")</f>
        <v>0</v>
      </c>
      <c r="F20" s="116">
        <f>COUNTIFS(veri!G:G,5,veri!I:I,"&gt;=1700",veri!I:I,"&lt;1800")</f>
        <v>0</v>
      </c>
      <c r="G20" s="116">
        <f>COUNTIFS(veri!G:G,6,veri!I:I,"&gt;=1700",veri!I:I,"&lt;1800")</f>
        <v>0</v>
      </c>
      <c r="H20" s="116">
        <f>COUNTIFS(veri!G:G,7,veri!I:I,"&gt;=1700",veri!I:I,"&lt;1800")</f>
        <v>0</v>
      </c>
      <c r="I20" s="116">
        <f>COUNTIFS(veri!G:G,8,veri!I:I,"&gt;=1700",veri!I:I,"&lt;1800")</f>
        <v>0</v>
      </c>
      <c r="J20" s="116">
        <f>COUNTIFS(veri!G:G,9,veri!I:I,"&gt;=1700",veri!I:I,"&lt;1800")</f>
        <v>0</v>
      </c>
      <c r="K20" s="116">
        <f>COUNTIFS(veri!G:G,10,veri!I:I,"&gt;=1700",veri!I:I,"&lt;1800")</f>
        <v>0</v>
      </c>
      <c r="L20" s="116">
        <f>COUNTIFS(veri!G:G,11,veri!I:I,"&gt;=1700",veri!I:I,"&lt;1800")</f>
        <v>0</v>
      </c>
      <c r="M20" s="116">
        <f>COUNTIFS(veri!G:G,12,veri!I:I,"&gt;=1700",veri!I:I,"&lt;1800")</f>
        <v>0</v>
      </c>
      <c r="N20" s="116">
        <f>COUNTIFS(veri!G:G,13,veri!I:I,"&gt;=1700",veri!I:I,"&lt;1800")</f>
        <v>0</v>
      </c>
      <c r="O20" s="116">
        <f>COUNTIFS(veri!G:G,14,veri!I:I,"&gt;=1700",veri!I:I,"&lt;1800")</f>
        <v>0</v>
      </c>
      <c r="P20" s="116">
        <f>COUNTIFS(veri!G:G,15,veri!I:I,"&gt;=1700",veri!I:I,"&lt;1800")</f>
        <v>0</v>
      </c>
      <c r="Q20" s="116">
        <f>COUNTIFS(veri!G:G,16,veri!I:I,"&gt;=1700",veri!I:I,"&lt;1800")</f>
        <v>0</v>
      </c>
      <c r="R20" s="116">
        <f>COUNTIFS(veri!G:G,17,veri!I:I,"&gt;=1700",veri!I:I,"&lt;1800")</f>
        <v>0</v>
      </c>
      <c r="S20" s="116">
        <f>COUNTIFS(veri!G:G,18,veri!I:I,"&gt;=1700",veri!I:I,"&lt;1800")</f>
        <v>0</v>
      </c>
      <c r="T20" s="116">
        <f>COUNTIFS(veri!G:G,19,veri!I:I,"&gt;=1700",veri!I:I,"&lt;1800")</f>
        <v>0</v>
      </c>
      <c r="U20" s="116">
        <f>COUNTIFS(veri!G:G,20,veri!I:I,"&gt;=1700",veri!I:I,"&lt;1800")</f>
        <v>0</v>
      </c>
      <c r="V20" s="116">
        <f>COUNTIFS(veri!G:G,21,veri!I:I,"&gt;=1700",veri!I:I,"&lt;1800")</f>
        <v>0</v>
      </c>
      <c r="W20" s="116">
        <f>COUNTIFS(veri!G:G,22,veri!I:I,"&gt;=1700",veri!I:I,"&lt;1800")</f>
        <v>0</v>
      </c>
      <c r="X20" s="116">
        <f>COUNTIFS(veri!G:G,23,veri!I:I,"&gt;=1700",veri!I:I,"&lt;1800")</f>
        <v>0</v>
      </c>
      <c r="Y20" s="116">
        <f>COUNTIFS(veri!G:G,24,veri!I:I,"&gt;=1700",veri!I:I,"&lt;1800")</f>
        <v>0</v>
      </c>
      <c r="Z20" s="116">
        <f>COUNTIFS(veri!G:G,25,veri!I:I,"&gt;=1700",veri!I:I,"&lt;1800")</f>
        <v>0</v>
      </c>
      <c r="AA20" s="116">
        <f>COUNTIFS(veri!G:G,26,veri!I:I,"&gt;=1700",veri!I:I,"&lt;1800")</f>
        <v>0</v>
      </c>
      <c r="AB20" s="116">
        <f>COUNTIFS(veri!G:G,51,veri!I:I,"&gt;=1700",veri!I:I,"&lt;1800")</f>
        <v>0</v>
      </c>
      <c r="AC20" s="116">
        <f>COUNTIFS(veri!G:G,52,veri!I:I,"&gt;=1700",veri!I:I,"&lt;1800")</f>
        <v>0</v>
      </c>
      <c r="AD20" s="116">
        <f>COUNTIFS(veri!G:G,53,veri!I:I,"&gt;=1700",veri!I:I,"&lt;1800")</f>
        <v>0</v>
      </c>
      <c r="AE20" s="116">
        <f>COUNTIFS(veri!G:G,54,veri!I:I,"&gt;=1700",veri!I:I,"&lt;1800")</f>
        <v>0</v>
      </c>
      <c r="AF20" s="116">
        <f>COUNTIFS(veri!G:G,55,veri!I:I,"&gt;=1700",veri!I:I,"&lt;1800")</f>
        <v>0</v>
      </c>
      <c r="AG20" s="116">
        <f>COUNTIFS(veri!G:G,56,veri!I:I,"&gt;=1700",veri!I:I,"&lt;1800")</f>
        <v>0</v>
      </c>
      <c r="AH20" s="116">
        <f>COUNTIFS(veri!G:G,57,veri!I:I,"&gt;=1700",veri!I:I,"&lt;1800")</f>
        <v>0</v>
      </c>
      <c r="AI20" s="116">
        <f>COUNTIFS(veri!G:G,58,veri!I:I,"&gt;=1700",veri!I:I,"&lt;1800")</f>
        <v>0</v>
      </c>
      <c r="AJ20" s="116">
        <f>COUNTIFS(veri!G:G,59,veri!I:I,"&gt;=1700",veri!I:I,"&lt;1800")</f>
        <v>0</v>
      </c>
      <c r="AK20" s="116">
        <f>COUNTIFS(veri!G:G,60,veri!I:I,"&gt;=1700",veri!I:I,"&lt;1800")</f>
        <v>0</v>
      </c>
      <c r="AL20" s="116">
        <f>COUNTIFS(veri!G:G,61,veri!I:I,"&gt;=1700",veri!I:I,"&lt;1800")</f>
        <v>0</v>
      </c>
      <c r="AM20" s="116">
        <f>COUNTIFS(veri!G:G,62,veri!I:I,"&gt;=1700",veri!I:I,"&lt;1800")</f>
        <v>0</v>
      </c>
      <c r="AN20" s="116">
        <f>COUNTIFS(veri!G:G,63,veri!I:I,"&gt;=1700",veri!I:I,"&lt;1800")</f>
        <v>0</v>
      </c>
      <c r="AO20" s="116">
        <f>COUNTIFS(veri!G:G,64,veri!I:I,"&gt;=1700",veri!I:I,"&lt;1800")</f>
        <v>0</v>
      </c>
      <c r="AP20" s="116">
        <f>COUNTIFS(veri!G:G,65,veri!I:I,"&gt;=1700",veri!I:I,"&lt;1800")</f>
        <v>0</v>
      </c>
      <c r="AQ20" s="116">
        <f>COUNTIFS(veri!G:G,66,veri!I:I,"&gt;=1700",veri!I:I,"&lt;1800")</f>
        <v>0</v>
      </c>
      <c r="AR20" s="116">
        <f>COUNTIFS(veri!G:G,67,veri!I:I,"&gt;=1700",veri!I:I,"&lt;1800")</f>
        <v>0</v>
      </c>
      <c r="AS20" s="116">
        <f>COUNTIFS(veri!G:G,68,veri!I:I,"&gt;=1700",veri!I:I,"&lt;1800")</f>
        <v>0</v>
      </c>
      <c r="AT20" s="116">
        <f>COUNTIFS(veri!G:G,69,veri!I:I,"&gt;=1700",veri!I:I,"&lt;1800")</f>
        <v>0</v>
      </c>
      <c r="AU20" s="116">
        <f>COUNTIFS(veri!G:G,70,veri!I:I,"&gt;=1700",veri!I:I,"&lt;1800")</f>
        <v>0</v>
      </c>
      <c r="AV20" s="116">
        <f>COUNTIFS(veri!G:G,71,veri!I:I,"&gt;=1700",veri!I:I,"&lt;1800")</f>
        <v>0</v>
      </c>
      <c r="AW20" s="116">
        <f>COUNTIFS(veri!G:G,72,veri!I:I,"&gt;=1700",veri!I:I,"&lt;1800")</f>
        <v>0</v>
      </c>
      <c r="AX20" s="116">
        <f>COUNTIFS(veri!G:G,73,veri!I:I,"&gt;=1700",veri!I:I,"&lt;1800")</f>
        <v>0</v>
      </c>
      <c r="AY20" s="116">
        <f>COUNTIFS(veri!G:G,74,veri!I:I,"&gt;=1700",veri!I:I,"&lt;1800")</f>
        <v>0</v>
      </c>
      <c r="AZ20" s="116">
        <f>COUNTIFS(veri!G:G,75,veri!I:I,"&gt;=1700",veri!I:I,"&lt;1800")</f>
        <v>0</v>
      </c>
      <c r="BA20" s="116">
        <f>COUNTIFS(veri!G:G,76,veri!I:I,"&gt;=1700",veri!I:I,"&lt;1800")</f>
        <v>0</v>
      </c>
      <c r="BB20" s="116">
        <f>COUNTIFS(veri!G:G,77,veri!I:I,"&gt;=1700",veri!I:I,"&lt;1800")</f>
        <v>0</v>
      </c>
      <c r="BC20" s="116">
        <f>COUNTIFS(veri!G:G,78,veri!I:I,"&gt;=1700",veri!I:I,"&lt;1800")</f>
        <v>0</v>
      </c>
      <c r="BD20" s="116">
        <f>COUNTIFS(veri!G:G,79,veri!I:I,"&gt;=1700",veri!I:I,"&lt;1800")</f>
        <v>0</v>
      </c>
      <c r="BE20" s="116">
        <f>COUNTIFS(veri!G:G,80,veri!I:I,"&gt;=1700",veri!I:I,"&lt;1800")</f>
        <v>0</v>
      </c>
      <c r="BF20" s="116">
        <f>COUNTIFS(veri!G:G,81,veri!I:I,"&gt;=1700",veri!I:I,"&lt;1800")</f>
        <v>0</v>
      </c>
      <c r="BG20" s="116">
        <f>COUNTIFS(veri!G:G,82,veri!I:I,"&gt;=1700",veri!I:I,"&lt;1800")</f>
        <v>0</v>
      </c>
      <c r="BH20" s="116">
        <f>COUNTIFS(veri!G:G,83,veri!I:I,"&gt;=1700",veri!I:I,"&lt;1800")</f>
        <v>0</v>
      </c>
      <c r="BI20" s="116">
        <f>COUNTIFS(veri!G:G,84,veri!I:I,"&gt;=1700",veri!I:I,"&lt;1800")</f>
        <v>0</v>
      </c>
      <c r="BJ20" s="116">
        <f>COUNTIFS(veri!G:G,85,veri!I:I,"&gt;=1700",veri!I:I,"&lt;1800")</f>
        <v>0</v>
      </c>
      <c r="BK20" s="116">
        <f>COUNTIFS(veri!G:G,86,veri!I:I,"&gt;=1700",veri!I:I,"&lt;1800")</f>
        <v>0</v>
      </c>
      <c r="BL20" s="116">
        <f>COUNTIFS(veri!G:G,87,veri!I:I,"&gt;=1700",veri!I:I,"&lt;1800")</f>
        <v>0</v>
      </c>
      <c r="BM20" s="116">
        <f>COUNTIFS(veri!G:G,88,veri!I:I,"&gt;=1700",veri!I:I,"&lt;1800")</f>
        <v>0</v>
      </c>
      <c r="BN20" s="116">
        <f>COUNTIFS(veri!G:G,89,veri!I:I,"&gt;=1700",veri!I:I,"&lt;1800")</f>
        <v>0</v>
      </c>
      <c r="BO20" s="116">
        <f>COUNTIFS(veri!G:G,90,veri!I:I,"&gt;=1700",veri!I:I,"&lt;1800")</f>
        <v>0</v>
      </c>
      <c r="BP20" s="116">
        <f>COUNTIFS(veri!G:G,91,veri!I:I,"&gt;=1700",veri!I:I,"&lt;1800")</f>
        <v>0</v>
      </c>
      <c r="BQ20" s="116">
        <f>COUNTIFS(veri!G:G,92,veri!I:I,"&gt;=1700",veri!I:I,"&lt;1800")</f>
        <v>0</v>
      </c>
      <c r="BR20" s="116">
        <f>COUNTIFS(veri!G:G,93,veri!I:I,"&gt;=1700",veri!I:I,"&lt;1800")</f>
        <v>0</v>
      </c>
      <c r="BS20" s="116">
        <f>COUNTIFS(veri!G:G,94,veri!I:I,"&gt;=1700",veri!I:I,"&lt;1800")</f>
        <v>0</v>
      </c>
      <c r="BT20" s="116">
        <f>COUNTIFS(veri!G:G,95,veri!I:I,"&gt;=1700",veri!I:I,"&lt;1800")</f>
        <v>0</v>
      </c>
      <c r="BU20" s="116">
        <f>COUNTIFS(veri!G:G,96,veri!I:I,"&gt;=1700",veri!I:I,"&lt;1800")</f>
        <v>0</v>
      </c>
      <c r="BV20" s="116">
        <f>COUNTIFS(veri!G:G,97,veri!I:I,"&gt;=1700",veri!I:I,"&lt;1800")</f>
        <v>0</v>
      </c>
      <c r="BW20" s="116">
        <f>COUNTIFS(veri!G:G,98,veri!I:I,"&gt;=1700",veri!I:I,"&lt;1800")</f>
        <v>0</v>
      </c>
      <c r="BX20" s="116">
        <f>COUNTIFS(veri!G:G,99,veri!I:I,"&gt;=1700",veri!I:I,"&lt;1800")</f>
        <v>0</v>
      </c>
      <c r="BY20" s="116">
        <f>COUNTIFS(veri!G:G,100,veri!I:I,"&gt;=1700",veri!I:I,"&lt;1800")</f>
        <v>0</v>
      </c>
      <c r="BZ20" s="116">
        <f>COUNTIFS(veri!G:G,101,veri!I:I,"&gt;=1700",veri!I:I,"&lt;1800")</f>
        <v>0</v>
      </c>
      <c r="CA20" s="116">
        <f>COUNTIFS(veri!G:G,102,veri!I:I,"&gt;=1700",veri!I:I,"&lt;1800")</f>
        <v>0</v>
      </c>
      <c r="CB20" s="116">
        <f>COUNTIFS(veri!G:G,103,veri!I:I,"&gt;=1700",veri!I:I,"&lt;1800")</f>
        <v>0</v>
      </c>
      <c r="CC20" s="116">
        <f>COUNTIFS(veri!G:G,104,veri!I:I,"&gt;=1700",veri!I:I,"&lt;1800")</f>
        <v>0</v>
      </c>
      <c r="CD20" s="116">
        <f>COUNTIFS(veri!G:G,105,veri!I:I,"&gt;=1700",veri!I:I,"&lt;1800")</f>
        <v>0</v>
      </c>
      <c r="CE20" s="121">
        <f t="shared" si="0"/>
        <v>0</v>
      </c>
      <c r="CF20" s="121">
        <f t="shared" si="1"/>
        <v>0</v>
      </c>
      <c r="CG20" s="121">
        <f t="shared" si="2"/>
        <v>0</v>
      </c>
      <c r="CH20" s="129">
        <f>IFERROR(CG20/CG24*100,0)</f>
        <v>0</v>
      </c>
      <c r="CI20" s="14"/>
      <c r="CJ20" s="14"/>
      <c r="CK20" s="14"/>
    </row>
    <row r="21" spans="1:89" ht="13.5" customHeight="1" x14ac:dyDescent="0.15">
      <c r="A21" s="122" t="s">
        <v>691</v>
      </c>
      <c r="B21" s="123">
        <f>COUNTIFS(veri!G:G,1,veri!I:I,"&gt;=1800",veri!I:I,"&lt;1900")</f>
        <v>0</v>
      </c>
      <c r="C21" s="123">
        <f>COUNTIFS(veri!G:G,2,veri!I:I,"&gt;=1800",veri!I:I,"&lt;1900")</f>
        <v>0</v>
      </c>
      <c r="D21" s="123">
        <f>COUNTIFS(veri!G:G,3,veri!I:I,"&gt;=1800",veri!I:I,"&lt;1900")</f>
        <v>0</v>
      </c>
      <c r="E21" s="123">
        <f>COUNTIFS(veri!G:G,4,veri!I:I,"&gt;=1800",veri!I:I,"&lt;1900")</f>
        <v>0</v>
      </c>
      <c r="F21" s="123">
        <f>COUNTIFS(veri!G:G,5,veri!I:I,"&gt;=1800",veri!I:I,"&lt;1900")</f>
        <v>0</v>
      </c>
      <c r="G21" s="123">
        <f>COUNTIFS(veri!G:G,6,veri!I:I,"&gt;=1800",veri!I:I,"&lt;1900")</f>
        <v>0</v>
      </c>
      <c r="H21" s="123">
        <f>COUNTIFS(veri!G:G,7,veri!I:I,"&gt;=1800",veri!I:I,"&lt;1900")</f>
        <v>0</v>
      </c>
      <c r="I21" s="123">
        <f>COUNTIFS(veri!G:G,8,veri!I:I,"&gt;=1800",veri!I:I,"&lt;1900")</f>
        <v>0</v>
      </c>
      <c r="J21" s="123">
        <f>COUNTIFS(veri!G:G,9,veri!I:I,"&gt;=1800",veri!I:I,"&lt;1900")</f>
        <v>0</v>
      </c>
      <c r="K21" s="123">
        <f>COUNTIFS(veri!G:G,10,veri!I:I,"&gt;=1800",veri!I:I,"&lt;1900")</f>
        <v>0</v>
      </c>
      <c r="L21" s="123">
        <f>COUNTIFS(veri!G:G,11,veri!I:I,"&gt;=1800",veri!I:I,"&lt;1900")</f>
        <v>0</v>
      </c>
      <c r="M21" s="123">
        <f>COUNTIFS(veri!G:G,12,veri!I:I,"&gt;=1800",veri!I:I,"&lt;1900")</f>
        <v>0</v>
      </c>
      <c r="N21" s="123">
        <f>COUNTIFS(veri!G:G,13,veri!I:I,"&gt;=1800",veri!I:I,"&lt;1900")</f>
        <v>0</v>
      </c>
      <c r="O21" s="123">
        <f>COUNTIFS(veri!G:G,14,veri!I:I,"&gt;=1800",veri!I:I,"&lt;1900")</f>
        <v>0</v>
      </c>
      <c r="P21" s="123">
        <f>COUNTIFS(veri!G:G,15,veri!I:I,"&gt;=1800",veri!I:I,"&lt;1900")</f>
        <v>0</v>
      </c>
      <c r="Q21" s="123">
        <f>COUNTIFS(veri!G:G,16,veri!I:I,"&gt;=1800",veri!I:I,"&lt;1900")</f>
        <v>0</v>
      </c>
      <c r="R21" s="123">
        <f>COUNTIFS(veri!G:G,17,veri!I:I,"&gt;=1800",veri!I:I,"&lt;1900")</f>
        <v>0</v>
      </c>
      <c r="S21" s="123">
        <f>COUNTIFS(veri!G:G,18,veri!I:I,"&gt;=1800",veri!I:I,"&lt;1900")</f>
        <v>0</v>
      </c>
      <c r="T21" s="123">
        <f>COUNTIFS(veri!G:G,19,veri!I:I,"&gt;=1800",veri!I:I,"&lt;1900")</f>
        <v>0</v>
      </c>
      <c r="U21" s="123">
        <f>COUNTIFS(veri!G:G,20,veri!I:I,"&gt;=1800",veri!I:I,"&lt;1900")</f>
        <v>0</v>
      </c>
      <c r="V21" s="123">
        <f>COUNTIFS(veri!G:G,21,veri!I:I,"&gt;=1800",veri!I:I,"&lt;1900")</f>
        <v>0</v>
      </c>
      <c r="W21" s="123">
        <f>COUNTIFS(veri!G:G,22,veri!I:I,"&gt;=1800",veri!I:I,"&lt;1900")</f>
        <v>0</v>
      </c>
      <c r="X21" s="123">
        <f>COUNTIFS(veri!G:G,23,veri!I:I,"&gt;=1800",veri!I:I,"&lt;1900")</f>
        <v>0</v>
      </c>
      <c r="Y21" s="123">
        <f>COUNTIFS(veri!G:G,24,veri!I:I,"&gt;=1800",veri!I:I,"&lt;1900")</f>
        <v>0</v>
      </c>
      <c r="Z21" s="123">
        <f>COUNTIFS(veri!G:G,25,veri!I:I,"&gt;=1800",veri!I:I,"&lt;1900")</f>
        <v>0</v>
      </c>
      <c r="AA21" s="123">
        <f>COUNTIFS(veri!G:G,26,veri!I:I,"&gt;=1800",veri!I:I,"&lt;1900")</f>
        <v>0</v>
      </c>
      <c r="AB21" s="123">
        <f>COUNTIFS(veri!G:G,51,veri!I:I,"&gt;=1800",veri!I:I,"&lt;1900")</f>
        <v>0</v>
      </c>
      <c r="AC21" s="123">
        <f>COUNTIFS(veri!G:G,52,veri!I:I,"&gt;=1800",veri!I:I,"&lt;1900")</f>
        <v>0</v>
      </c>
      <c r="AD21" s="123">
        <f>COUNTIFS(veri!G:G,53,veri!I:I,"&gt;=1800",veri!I:I,"&lt;1900")</f>
        <v>0</v>
      </c>
      <c r="AE21" s="123">
        <f>COUNTIFS(veri!G:G,54,veri!I:I,"&gt;=1800",veri!I:I,"&lt;1900")</f>
        <v>0</v>
      </c>
      <c r="AF21" s="123">
        <f>COUNTIFS(veri!G:G,55,veri!I:I,"&gt;=1800",veri!I:I,"&lt;1900")</f>
        <v>0</v>
      </c>
      <c r="AG21" s="123">
        <f>COUNTIFS(veri!G:G,56,veri!I:I,"&gt;=1800",veri!I:I,"&lt;1900")</f>
        <v>0</v>
      </c>
      <c r="AH21" s="123">
        <f>COUNTIFS(veri!G:G,57,veri!I:I,"&gt;=1800",veri!I:I,"&lt;1900")</f>
        <v>0</v>
      </c>
      <c r="AI21" s="123">
        <f>COUNTIFS(veri!G:G,58,veri!I:I,"&gt;=1800",veri!I:I,"&lt;1900")</f>
        <v>0</v>
      </c>
      <c r="AJ21" s="123">
        <f>COUNTIFS(veri!G:G,59,veri!I:I,"&gt;=1800",veri!I:I,"&lt;1900")</f>
        <v>0</v>
      </c>
      <c r="AK21" s="123">
        <f>COUNTIFS(veri!G:G,60,veri!I:I,"&gt;=1800",veri!I:I,"&lt;1900")</f>
        <v>0</v>
      </c>
      <c r="AL21" s="123">
        <f>COUNTIFS(veri!G:G,61,veri!I:I,"&gt;=1800",veri!I:I,"&lt;1900")</f>
        <v>0</v>
      </c>
      <c r="AM21" s="123">
        <f>COUNTIFS(veri!G:G,62,veri!I:I,"&gt;=1800",veri!I:I,"&lt;1900")</f>
        <v>0</v>
      </c>
      <c r="AN21" s="123">
        <f>COUNTIFS(veri!G:G,63,veri!I:I,"&gt;=1800",veri!I:I,"&lt;1900")</f>
        <v>0</v>
      </c>
      <c r="AO21" s="123">
        <f>COUNTIFS(veri!G:G,64,veri!I:I,"&gt;=1800",veri!I:I,"&lt;1900")</f>
        <v>0</v>
      </c>
      <c r="AP21" s="123">
        <f>COUNTIFS(veri!G:G,65,veri!I:I,"&gt;=1800",veri!I:I,"&lt;1900")</f>
        <v>0</v>
      </c>
      <c r="AQ21" s="123">
        <f>COUNTIFS(veri!G:G,66,veri!I:I,"&gt;=1800",veri!I:I,"&lt;1900")</f>
        <v>0</v>
      </c>
      <c r="AR21" s="123">
        <f>COUNTIFS(veri!G:G,67,veri!I:I,"&gt;=1800",veri!I:I,"&lt;1900")</f>
        <v>0</v>
      </c>
      <c r="AS21" s="123">
        <f>COUNTIFS(veri!G:G,68,veri!I:I,"&gt;=1800",veri!I:I,"&lt;1900")</f>
        <v>0</v>
      </c>
      <c r="AT21" s="123">
        <f>COUNTIFS(veri!G:G,69,veri!I:I,"&gt;=1800",veri!I:I,"&lt;1900")</f>
        <v>0</v>
      </c>
      <c r="AU21" s="123">
        <f>COUNTIFS(veri!G:G,70,veri!I:I,"&gt;=1800",veri!I:I,"&lt;1900")</f>
        <v>0</v>
      </c>
      <c r="AV21" s="123">
        <f>COUNTIFS(veri!G:G,71,veri!I:I,"&gt;=1800",veri!I:I,"&lt;1900")</f>
        <v>0</v>
      </c>
      <c r="AW21" s="123">
        <f>COUNTIFS(veri!G:G,72,veri!I:I,"&gt;=1800",veri!I:I,"&lt;1900")</f>
        <v>0</v>
      </c>
      <c r="AX21" s="123">
        <f>COUNTIFS(veri!G:G,73,veri!I:I,"&gt;=1800",veri!I:I,"&lt;1900")</f>
        <v>0</v>
      </c>
      <c r="AY21" s="123">
        <f>COUNTIFS(veri!G:G,74,veri!I:I,"&gt;=1800",veri!I:I,"&lt;1900")</f>
        <v>0</v>
      </c>
      <c r="AZ21" s="123">
        <f>COUNTIFS(veri!G:G,75,veri!I:I,"&gt;=1800",veri!I:I,"&lt;1900")</f>
        <v>0</v>
      </c>
      <c r="BA21" s="123">
        <f>COUNTIFS(veri!G:G,76,veri!I:I,"&gt;=1800",veri!I:I,"&lt;1900")</f>
        <v>0</v>
      </c>
      <c r="BB21" s="123">
        <f>COUNTIFS(veri!G:G,77,veri!I:I,"&gt;=1800",veri!I:I,"&lt;1900")</f>
        <v>0</v>
      </c>
      <c r="BC21" s="123">
        <f>COUNTIFS(veri!G:G,78,veri!I:I,"&gt;=1800",veri!I:I,"&lt;1900")</f>
        <v>0</v>
      </c>
      <c r="BD21" s="123">
        <f>COUNTIFS(veri!G:G,79,veri!I:I,"&gt;=1800",veri!I:I,"&lt;1900")</f>
        <v>0</v>
      </c>
      <c r="BE21" s="123">
        <f>COUNTIFS(veri!G:G,80,veri!I:I,"&gt;=1800",veri!I:I,"&lt;1900")</f>
        <v>0</v>
      </c>
      <c r="BF21" s="123">
        <f>COUNTIFS(veri!G:G,81,veri!I:I,"&gt;=1800",veri!I:I,"&lt;1900")</f>
        <v>0</v>
      </c>
      <c r="BG21" s="123">
        <f>COUNTIFS(veri!G:G,82,veri!I:I,"&gt;=1800",veri!I:I,"&lt;1900")</f>
        <v>0</v>
      </c>
      <c r="BH21" s="123">
        <f>COUNTIFS(veri!G:G,83,veri!I:I,"&gt;=1800",veri!I:I,"&lt;1900")</f>
        <v>0</v>
      </c>
      <c r="BI21" s="123">
        <f>COUNTIFS(veri!G:G,84,veri!I:I,"&gt;=1800",veri!I:I,"&lt;1900")</f>
        <v>0</v>
      </c>
      <c r="BJ21" s="123">
        <f>COUNTIFS(veri!G:G,85,veri!I:I,"&gt;=1800",veri!I:I,"&lt;1900")</f>
        <v>0</v>
      </c>
      <c r="BK21" s="123">
        <f>COUNTIFS(veri!G:G,86,veri!I:I,"&gt;=1800",veri!I:I,"&lt;1900")</f>
        <v>0</v>
      </c>
      <c r="BL21" s="123">
        <f>COUNTIFS(veri!G:G,87,veri!I:I,"&gt;=1800",veri!I:I,"&lt;1900")</f>
        <v>0</v>
      </c>
      <c r="BM21" s="123">
        <f>COUNTIFS(veri!G:G,88,veri!I:I,"&gt;=1800",veri!I:I,"&lt;1900")</f>
        <v>0</v>
      </c>
      <c r="BN21" s="123">
        <f>COUNTIFS(veri!G:G,89,veri!I:I,"&gt;=1800",veri!I:I,"&lt;1900")</f>
        <v>0</v>
      </c>
      <c r="BO21" s="123">
        <f>COUNTIFS(veri!G:G,90,veri!I:I,"&gt;=1800",veri!I:I,"&lt;1900")</f>
        <v>0</v>
      </c>
      <c r="BP21" s="123">
        <f>COUNTIFS(veri!G:G,91,veri!I:I,"&gt;=1800",veri!I:I,"&lt;1900")</f>
        <v>0</v>
      </c>
      <c r="BQ21" s="123">
        <f>COUNTIFS(veri!G:G,92,veri!I:I,"&gt;=1800",veri!I:I,"&lt;1900")</f>
        <v>0</v>
      </c>
      <c r="BR21" s="123">
        <f>COUNTIFS(veri!G:G,93,veri!I:I,"&gt;=1800",veri!I:I,"&lt;1900")</f>
        <v>0</v>
      </c>
      <c r="BS21" s="123">
        <f>COUNTIFS(veri!G:G,94,veri!I:I,"&gt;=1800",veri!I:I,"&lt;1900")</f>
        <v>0</v>
      </c>
      <c r="BT21" s="123">
        <f>COUNTIFS(veri!G:G,95,veri!I:I,"&gt;=1800",veri!I:I,"&lt;1900")</f>
        <v>0</v>
      </c>
      <c r="BU21" s="123">
        <f>COUNTIFS(veri!G:G,96,veri!I:I,"&gt;=1800",veri!I:I,"&lt;1900")</f>
        <v>0</v>
      </c>
      <c r="BV21" s="123">
        <f>COUNTIFS(veri!G:G,97,veri!I:I,"&gt;=1800",veri!I:I,"&lt;1900")</f>
        <v>0</v>
      </c>
      <c r="BW21" s="123">
        <f>COUNTIFS(veri!G:G,98,veri!I:I,"&gt;=1800",veri!I:I,"&lt;1900")</f>
        <v>0</v>
      </c>
      <c r="BX21" s="123">
        <f>COUNTIFS(veri!G:G,99,veri!I:I,"&gt;=1800",veri!I:I,"&lt;1900")</f>
        <v>0</v>
      </c>
      <c r="BY21" s="123">
        <f>COUNTIFS(veri!G:G,100,veri!I:I,"&gt;=1800",veri!I:I,"&lt;1900")</f>
        <v>0</v>
      </c>
      <c r="BZ21" s="123">
        <f>COUNTIFS(veri!G:G,101,veri!I:I,"&gt;=1800",veri!I:I,"&lt;1900")</f>
        <v>0</v>
      </c>
      <c r="CA21" s="123">
        <f>COUNTIFS(veri!G:G,102,veri!I:I,"&gt;=1800",veri!I:I,"&lt;1900")</f>
        <v>0</v>
      </c>
      <c r="CB21" s="123">
        <f>COUNTIFS(veri!G:G,103,veri!I:I,"&gt;=1800",veri!I:I,"&lt;1900")</f>
        <v>0</v>
      </c>
      <c r="CC21" s="123">
        <f>COUNTIFS(veri!G:G,104,veri!I:I,"&gt;=1800",veri!I:I,"&lt;1900")</f>
        <v>0</v>
      </c>
      <c r="CD21" s="123">
        <f>COUNTIFS(veri!G:G,105,veri!I:I,"&gt;=1800",veri!I:I,"&lt;1900")</f>
        <v>0</v>
      </c>
      <c r="CE21" s="121">
        <f t="shared" si="0"/>
        <v>0</v>
      </c>
      <c r="CF21" s="121">
        <f t="shared" si="1"/>
        <v>0</v>
      </c>
      <c r="CG21" s="121">
        <f t="shared" si="2"/>
        <v>0</v>
      </c>
      <c r="CH21" s="129">
        <f>IFERROR(CG21/CG24*100,0)</f>
        <v>0</v>
      </c>
      <c r="CI21" s="14"/>
      <c r="CJ21" s="14"/>
      <c r="CK21" s="14"/>
    </row>
    <row r="22" spans="1:89" s="108" customFormat="1" ht="13.5" customHeight="1" x14ac:dyDescent="0.15">
      <c r="A22" s="120" t="s">
        <v>692</v>
      </c>
      <c r="B22" s="116">
        <f>COUNTIFS(veri!G:G,1,veri!I:I,"&gt;=1900",veri!I:I,"&lt;2100")</f>
        <v>0</v>
      </c>
      <c r="C22" s="116">
        <f>COUNTIFS(veri!G:G,2,veri!I:I,"&gt;=1900",veri!I:I,"&lt;2100")</f>
        <v>0</v>
      </c>
      <c r="D22" s="116">
        <f>COUNTIFS(veri!G:G,3,veri!I:I,"&gt;=1900",veri!I:I,"&lt;2100")</f>
        <v>0</v>
      </c>
      <c r="E22" s="116">
        <f>COUNTIFS(veri!G:G,4,veri!I:I,"&gt;=1900",veri!I:I,"&lt;2100")</f>
        <v>0</v>
      </c>
      <c r="F22" s="116">
        <f>COUNTIFS(veri!G:G,5,veri!I:I,"&gt;=1900",veri!I:I,"&lt;2100")</f>
        <v>0</v>
      </c>
      <c r="G22" s="116">
        <f>COUNTIFS(veri!G:G,6,veri!I:I,"&gt;=1900",veri!I:I,"&lt;2100")</f>
        <v>0</v>
      </c>
      <c r="H22" s="116">
        <f>COUNTIFS(veri!G:G,7,veri!I:I,"&gt;=1900",veri!I:I,"&lt;2100")</f>
        <v>0</v>
      </c>
      <c r="I22" s="116">
        <f>COUNTIFS(veri!G:G,8,veri!I:I,"&gt;=1900",veri!I:I,"&lt;2100")</f>
        <v>0</v>
      </c>
      <c r="J22" s="116">
        <f>COUNTIFS(veri!G:G,9,veri!I:I,"&gt;=1900",veri!I:I,"&lt;2100")</f>
        <v>0</v>
      </c>
      <c r="K22" s="116">
        <f>COUNTIFS(veri!G:G,10,veri!I:I,"&gt;=1900",veri!I:I,"&lt;2100")</f>
        <v>0</v>
      </c>
      <c r="L22" s="116">
        <f>COUNTIFS(veri!G:G,11,veri!I:I,"&gt;=1900",veri!I:I,"&lt;2100")</f>
        <v>0</v>
      </c>
      <c r="M22" s="116">
        <f>COUNTIFS(veri!G:G,12,veri!I:I,"&gt;=1900",veri!I:I,"&lt;2100")</f>
        <v>0</v>
      </c>
      <c r="N22" s="116">
        <f>COUNTIFS(veri!G:G,13,veri!I:I,"&gt;=1900",veri!I:I,"&lt;2100")</f>
        <v>0</v>
      </c>
      <c r="O22" s="116">
        <f>COUNTIFS(veri!G:G,14,veri!I:I,"&gt;=1900",veri!I:I,"&lt;2100")</f>
        <v>0</v>
      </c>
      <c r="P22" s="116">
        <f>COUNTIFS(veri!G:G,15,veri!I:I,"&gt;=1900",veri!I:I,"&lt;2100")</f>
        <v>0</v>
      </c>
      <c r="Q22" s="116">
        <f>COUNTIFS(veri!G:G,16,veri!I:I,"&gt;=1900",veri!I:I,"&lt;2100")</f>
        <v>0</v>
      </c>
      <c r="R22" s="116">
        <f>COUNTIFS(veri!G:G,17,veri!I:I,"&gt;=1900",veri!I:I,"&lt;2100")</f>
        <v>0</v>
      </c>
      <c r="S22" s="116">
        <f>COUNTIFS(veri!G:G,18,veri!I:I,"&gt;=1900",veri!I:I,"&lt;2100")</f>
        <v>0</v>
      </c>
      <c r="T22" s="116">
        <f>COUNTIFS(veri!G:G,19,veri!I:I,"&gt;=1900",veri!I:I,"&lt;2100")</f>
        <v>0</v>
      </c>
      <c r="U22" s="116">
        <f>COUNTIFS(veri!G:G,20,veri!I:I,"&gt;=1900",veri!I:I,"&lt;2100")</f>
        <v>0</v>
      </c>
      <c r="V22" s="116">
        <f>COUNTIFS(veri!G:G,21,veri!I:I,"&gt;=1900",veri!I:I,"&lt;2100")</f>
        <v>0</v>
      </c>
      <c r="W22" s="116">
        <f>COUNTIFS(veri!G:G,22,veri!I:I,"&gt;=1900",veri!I:I,"&lt;2100")</f>
        <v>0</v>
      </c>
      <c r="X22" s="116">
        <f>COUNTIFS(veri!G:G,23,veri!I:I,"&gt;=1900",veri!I:I,"&lt;2100")</f>
        <v>0</v>
      </c>
      <c r="Y22" s="116">
        <f>COUNTIFS(veri!G:G,24,veri!I:I,"&gt;=1900",veri!I:I,"&lt;2100")</f>
        <v>0</v>
      </c>
      <c r="Z22" s="116">
        <f>COUNTIFS(veri!G:G,25,veri!I:I,"&gt;=1900",veri!I:I,"&lt;2100")</f>
        <v>0</v>
      </c>
      <c r="AA22" s="116">
        <f>COUNTIFS(veri!G:G,26,veri!I:I,"&gt;=1900",veri!I:I,"&lt;2100")</f>
        <v>0</v>
      </c>
      <c r="AB22" s="116">
        <f>COUNTIFS(veri!G:G,51,veri!I:I,"&gt;=1900",veri!I:I,"&lt;2100")</f>
        <v>0</v>
      </c>
      <c r="AC22" s="116">
        <f>COUNTIFS(veri!G:G,52,veri!I:I,"&gt;=1900",veri!I:I,"&lt;2100")</f>
        <v>0</v>
      </c>
      <c r="AD22" s="116">
        <f>COUNTIFS(veri!G:G,53,veri!I:I,"&gt;=1900",veri!I:I,"&lt;2100")</f>
        <v>0</v>
      </c>
      <c r="AE22" s="116">
        <f>COUNTIFS(veri!G:G,54,veri!I:I,"&gt;=1900",veri!I:I,"&lt;2100")</f>
        <v>0</v>
      </c>
      <c r="AF22" s="116">
        <f>COUNTIFS(veri!G:G,55,veri!I:I,"&gt;=1900",veri!I:I,"&lt;2100")</f>
        <v>0</v>
      </c>
      <c r="AG22" s="116">
        <f>COUNTIFS(veri!G:G,56,veri!I:I,"&gt;=1900",veri!I:I,"&lt;2100")</f>
        <v>0</v>
      </c>
      <c r="AH22" s="116">
        <f>COUNTIFS(veri!G:G,57,veri!I:I,"&gt;=1900",veri!I:I,"&lt;2100")</f>
        <v>0</v>
      </c>
      <c r="AI22" s="127">
        <f>COUNTIFS(veri!G:G,58,veri!I:I,"&gt;=1900",veri!I:I,"&lt;2100")</f>
        <v>0</v>
      </c>
      <c r="AJ22" s="116">
        <f>COUNTIFS(veri!G:G,59,veri!I:I,"&gt;=1900",veri!I:I,"&lt;2100")</f>
        <v>0</v>
      </c>
      <c r="AK22" s="116">
        <f>COUNTIFS(veri!G:G,60,veri!I:I,"&gt;=1900",veri!I:I,"&lt;2100")</f>
        <v>0</v>
      </c>
      <c r="AL22" s="116">
        <f>COUNTIFS(veri!G:G,61,veri!I:I,"&gt;=1900",veri!I:I,"&lt;2100")</f>
        <v>0</v>
      </c>
      <c r="AM22" s="116">
        <f>COUNTIFS(veri!G:G,62,veri!I:I,"&gt;=1900",veri!I:I,"&lt;2100")</f>
        <v>0</v>
      </c>
      <c r="AN22" s="116">
        <f>COUNTIFS(veri!G:G,63,veri!I:I,"&gt;=1900",veri!I:I,"&lt;2100")</f>
        <v>1</v>
      </c>
      <c r="AO22" s="116">
        <f>COUNTIFS(veri!G:G,64,veri!I:I,"&gt;=1900",veri!I:I,"&lt;2100")</f>
        <v>0</v>
      </c>
      <c r="AP22" s="116">
        <f>COUNTIFS(veri!G:G,65,veri!I:I,"&gt;=1900",veri!I:I,"&lt;2100")</f>
        <v>0</v>
      </c>
      <c r="AQ22" s="116">
        <f>COUNTIFS(veri!G:G,66,veri!I:I,"&gt;=1900",veri!I:I,"&lt;2100")</f>
        <v>0</v>
      </c>
      <c r="AR22" s="116">
        <f>COUNTIFS(veri!G:G,67,veri!I:I,"&gt;=1900",veri!I:I,"&lt;2100")</f>
        <v>0</v>
      </c>
      <c r="AS22" s="116">
        <f>COUNTIFS(veri!G:G,68,veri!I:I,"&gt;=1900",veri!I:I,"&lt;2100")</f>
        <v>0</v>
      </c>
      <c r="AT22" s="116">
        <f>COUNTIFS(veri!G:G,69,veri!I:I,"&gt;=1900",veri!I:I,"&lt;2100")</f>
        <v>0</v>
      </c>
      <c r="AU22" s="116">
        <f>COUNTIFS(veri!G:G,70,veri!I:I,"&gt;=1900",veri!I:I,"&lt;2100")</f>
        <v>0</v>
      </c>
      <c r="AV22" s="116">
        <f>COUNTIFS(veri!G:G,71,veri!I:I,"&gt;=1900",veri!I:I,"&lt;2100")</f>
        <v>0</v>
      </c>
      <c r="AW22" s="116">
        <f>COUNTIFS(veri!G:G,72,veri!I:I,"&gt;=1900",veri!I:I,"&lt;2100")</f>
        <v>0</v>
      </c>
      <c r="AX22" s="116">
        <f>COUNTIFS(veri!G:G,73,veri!I:I,"&gt;=1900",veri!I:I,"&lt;2100")</f>
        <v>0</v>
      </c>
      <c r="AY22" s="116">
        <f>COUNTIFS(veri!G:G,74,veri!I:I,"&gt;=1900",veri!I:I,"&lt;2100")</f>
        <v>0</v>
      </c>
      <c r="AZ22" s="116">
        <f>COUNTIFS(veri!G:G,75,veri!I:I,"&gt;=1900",veri!I:I,"&lt;2100")</f>
        <v>0</v>
      </c>
      <c r="BA22" s="116">
        <f>COUNTIFS(veri!G:G,76,veri!I:I,"&gt;=1900",veri!I:I,"&lt;2100")</f>
        <v>0</v>
      </c>
      <c r="BB22" s="116">
        <f>COUNTIFS(veri!G:G,77,veri!I:I,"&gt;=1900",veri!I:I,"&lt;2100")</f>
        <v>0</v>
      </c>
      <c r="BC22" s="116">
        <f>COUNTIFS(veri!G:G,78,veri!I:I,"&gt;=1900",veri!I:I,"&lt;2100")</f>
        <v>0</v>
      </c>
      <c r="BD22" s="116">
        <f>COUNTIFS(veri!G:G,79,veri!I:I,"&gt;=1900",veri!I:I,"&lt;2100")</f>
        <v>0</v>
      </c>
      <c r="BE22" s="116">
        <f>COUNTIFS(veri!G:G,80,veri!I:I,"&gt;=1900",veri!I:I,"&lt;2100")</f>
        <v>0</v>
      </c>
      <c r="BF22" s="116">
        <f>COUNTIFS(veri!G:G,81,veri!I:I,"&gt;=1900",veri!I:I,"&lt;2100")</f>
        <v>0</v>
      </c>
      <c r="BG22" s="116">
        <f>COUNTIFS(veri!G:G,82,veri!I:I,"&gt;=1900",veri!I:I,"&lt;2100")</f>
        <v>0</v>
      </c>
      <c r="BH22" s="116">
        <f>COUNTIFS(veri!G:G,83,veri!I:I,"&gt;=1900",veri!I:I,"&lt;2100")</f>
        <v>0</v>
      </c>
      <c r="BI22" s="116">
        <f>COUNTIFS(veri!G:G,84,veri!I:I,"&gt;=1900",veri!I:I,"&lt;2100")</f>
        <v>0</v>
      </c>
      <c r="BJ22" s="116">
        <f>COUNTIFS(veri!G:G,85,veri!I:I,"&gt;=1900",veri!I:I,"&lt;2100")</f>
        <v>0</v>
      </c>
      <c r="BK22" s="116">
        <f>COUNTIFS(veri!G:G,86,veri!I:I,"&gt;=1900",veri!I:I,"&lt;2100")</f>
        <v>0</v>
      </c>
      <c r="BL22" s="116">
        <f>COUNTIFS(veri!G:G,87,veri!I:I,"&gt;=1900",veri!I:I,"&lt;2100")</f>
        <v>0</v>
      </c>
      <c r="BM22" s="116">
        <f>COUNTIFS(veri!G:G,88,veri!I:I,"&gt;=1900",veri!I:I,"&lt;2100")</f>
        <v>0</v>
      </c>
      <c r="BN22" s="116">
        <f>COUNTIFS(veri!G:G,89,veri!I:I,"&gt;=1900",veri!I:I,"&lt;2100")</f>
        <v>0</v>
      </c>
      <c r="BO22" s="116">
        <f>COUNTIFS(veri!G:G,90,veri!I:I,"&gt;=1900",veri!I:I,"&lt;2100")</f>
        <v>0</v>
      </c>
      <c r="BP22" s="116">
        <f>COUNTIFS(veri!G:G,91,veri!I:I,"&gt;=1900",veri!I:I,"&lt;2100")</f>
        <v>0</v>
      </c>
      <c r="BQ22" s="116">
        <f>COUNTIFS(veri!G:G,92,veri!I:I,"&gt;=1900",veri!I:I,"&lt;2100")</f>
        <v>0</v>
      </c>
      <c r="BR22" s="116">
        <f>COUNTIFS(veri!G:G,93,veri!I:I,"&gt;=1900",veri!I:I,"&lt;2100")</f>
        <v>0</v>
      </c>
      <c r="BS22" s="116">
        <f>COUNTIFS(veri!G:G,94,veri!I:I,"&gt;=1900",veri!I:I,"&lt;2100")</f>
        <v>0</v>
      </c>
      <c r="BT22" s="116">
        <f>COUNTIFS(veri!G:G,95,veri!I:I,"&gt;=1900",veri!I:I,"&lt;2100")</f>
        <v>0</v>
      </c>
      <c r="BU22" s="116">
        <f>COUNTIFS(veri!G:G,96,veri!I:I,"&gt;=1900",veri!I:I,"&lt;2100")</f>
        <v>0</v>
      </c>
      <c r="BV22" s="116">
        <f>COUNTIFS(veri!G:G,97,veri!I:I,"&gt;=1900",veri!I:I,"&lt;2100")</f>
        <v>0</v>
      </c>
      <c r="BW22" s="116">
        <f>COUNTIFS(veri!G:G,98,veri!I:I,"&gt;=1900",veri!I:I,"&lt;2100")</f>
        <v>0</v>
      </c>
      <c r="BX22" s="116">
        <f>COUNTIFS(veri!G:G,99,veri!I:I,"&gt;=1900",veri!I:I,"&lt;2100")</f>
        <v>0</v>
      </c>
      <c r="BY22" s="116">
        <f>COUNTIFS(veri!G:G,100,veri!I:I,"&gt;=1900",veri!I:I,"&lt;2100")</f>
        <v>0</v>
      </c>
      <c r="BZ22" s="116">
        <f>COUNTIFS(veri!G:G,101,veri!I:I,"&gt;=1900",veri!I:I,"&lt;2100")</f>
        <v>0</v>
      </c>
      <c r="CA22" s="116">
        <f>COUNTIFS(veri!G:G,102,veri!I:I,"&gt;=1900",veri!I:I,"&lt;2100")</f>
        <v>0</v>
      </c>
      <c r="CB22" s="116">
        <f>COUNTIFS(veri!G:G,103,veri!I:I,"&gt;=1900",veri!I:I,"&lt;2100")</f>
        <v>0</v>
      </c>
      <c r="CC22" s="116">
        <f>COUNTIFS(veri!G:G,104,veri!I:I,"&gt;=1900",veri!I:I,"&lt;2100")</f>
        <v>0</v>
      </c>
      <c r="CD22" s="116">
        <f>COUNTIFS(veri!G:G,105,veri!I:I,"&gt;=1900",veri!I:I,"&lt;2100")</f>
        <v>0</v>
      </c>
      <c r="CE22" s="121">
        <f t="shared" si="0"/>
        <v>0</v>
      </c>
      <c r="CF22" s="121">
        <f t="shared" si="1"/>
        <v>1</v>
      </c>
      <c r="CG22" s="121">
        <f t="shared" si="2"/>
        <v>1</v>
      </c>
      <c r="CH22" s="129">
        <f>IFERROR(CG22/CG24*100,0)</f>
        <v>0</v>
      </c>
      <c r="CI22" s="14"/>
      <c r="CJ22" s="14"/>
      <c r="CK22" s="14"/>
    </row>
    <row r="23" spans="1:89" ht="13.5" customHeight="1" x14ac:dyDescent="0.15">
      <c r="A23" s="122" t="s">
        <v>113</v>
      </c>
      <c r="B23" s="123">
        <f t="shared" ref="B23:AG23" si="3">SUM(B4:B22)</f>
        <v>0</v>
      </c>
      <c r="C23" s="123">
        <f t="shared" si="3"/>
        <v>0</v>
      </c>
      <c r="D23" s="123">
        <f t="shared" si="3"/>
        <v>0</v>
      </c>
      <c r="E23" s="123">
        <f t="shared" si="3"/>
        <v>0</v>
      </c>
      <c r="F23" s="123">
        <f t="shared" si="3"/>
        <v>0</v>
      </c>
      <c r="G23" s="123">
        <f t="shared" si="3"/>
        <v>0</v>
      </c>
      <c r="H23" s="123">
        <f t="shared" si="3"/>
        <v>0</v>
      </c>
      <c r="I23" s="123">
        <f t="shared" si="3"/>
        <v>0</v>
      </c>
      <c r="J23" s="123">
        <f t="shared" si="3"/>
        <v>0</v>
      </c>
      <c r="K23" s="123">
        <f t="shared" si="3"/>
        <v>0</v>
      </c>
      <c r="L23" s="123">
        <f t="shared" si="3"/>
        <v>0</v>
      </c>
      <c r="M23" s="123">
        <f t="shared" si="3"/>
        <v>0</v>
      </c>
      <c r="N23" s="123">
        <f t="shared" si="3"/>
        <v>0</v>
      </c>
      <c r="O23" s="123">
        <f t="shared" si="3"/>
        <v>0</v>
      </c>
      <c r="P23" s="123">
        <f t="shared" si="3"/>
        <v>0</v>
      </c>
      <c r="Q23" s="123">
        <f t="shared" si="3"/>
        <v>0</v>
      </c>
      <c r="R23" s="123">
        <f t="shared" si="3"/>
        <v>0</v>
      </c>
      <c r="S23" s="123">
        <f t="shared" si="3"/>
        <v>0</v>
      </c>
      <c r="T23" s="123">
        <f t="shared" si="3"/>
        <v>0</v>
      </c>
      <c r="U23" s="123">
        <f t="shared" si="3"/>
        <v>0</v>
      </c>
      <c r="V23" s="123">
        <f t="shared" si="3"/>
        <v>0</v>
      </c>
      <c r="W23" s="123">
        <f t="shared" si="3"/>
        <v>0</v>
      </c>
      <c r="X23" s="123">
        <f t="shared" si="3"/>
        <v>0</v>
      </c>
      <c r="Y23" s="123">
        <f t="shared" si="3"/>
        <v>0</v>
      </c>
      <c r="Z23" s="123">
        <f t="shared" si="3"/>
        <v>0</v>
      </c>
      <c r="AA23" s="123">
        <f t="shared" si="3"/>
        <v>0</v>
      </c>
      <c r="AB23" s="123">
        <f t="shared" si="3"/>
        <v>0</v>
      </c>
      <c r="AC23" s="123">
        <f t="shared" si="3"/>
        <v>0</v>
      </c>
      <c r="AD23" s="123">
        <f t="shared" si="3"/>
        <v>1</v>
      </c>
      <c r="AE23" s="123">
        <f t="shared" si="3"/>
        <v>0</v>
      </c>
      <c r="AF23" s="123">
        <f t="shared" si="3"/>
        <v>2</v>
      </c>
      <c r="AG23" s="123">
        <f t="shared" si="3"/>
        <v>0</v>
      </c>
      <c r="AH23" s="123">
        <f t="shared" ref="AH23:BM23" si="4">SUM(AH4:AH22)</f>
        <v>0</v>
      </c>
      <c r="AI23" s="123">
        <f t="shared" si="4"/>
        <v>0</v>
      </c>
      <c r="AJ23" s="123">
        <f t="shared" si="4"/>
        <v>1</v>
      </c>
      <c r="AK23" s="123">
        <f t="shared" si="4"/>
        <v>0</v>
      </c>
      <c r="AL23" s="123">
        <f t="shared" si="4"/>
        <v>0</v>
      </c>
      <c r="AM23" s="123">
        <f t="shared" si="4"/>
        <v>0</v>
      </c>
      <c r="AN23" s="123">
        <f t="shared" si="4"/>
        <v>1</v>
      </c>
      <c r="AO23" s="123">
        <f t="shared" si="4"/>
        <v>0</v>
      </c>
      <c r="AP23" s="123">
        <f t="shared" si="4"/>
        <v>0</v>
      </c>
      <c r="AQ23" s="123">
        <f t="shared" si="4"/>
        <v>0</v>
      </c>
      <c r="AR23" s="123">
        <f t="shared" si="4"/>
        <v>0</v>
      </c>
      <c r="AS23" s="123">
        <f t="shared" si="4"/>
        <v>0</v>
      </c>
      <c r="AT23" s="123">
        <f t="shared" si="4"/>
        <v>0</v>
      </c>
      <c r="AU23" s="123">
        <f t="shared" si="4"/>
        <v>2</v>
      </c>
      <c r="AV23" s="123">
        <f t="shared" si="4"/>
        <v>0</v>
      </c>
      <c r="AW23" s="123">
        <f t="shared" si="4"/>
        <v>0</v>
      </c>
      <c r="AX23" s="123">
        <f t="shared" si="4"/>
        <v>0</v>
      </c>
      <c r="AY23" s="123">
        <f t="shared" si="4"/>
        <v>0</v>
      </c>
      <c r="AZ23" s="123">
        <f t="shared" si="4"/>
        <v>0</v>
      </c>
      <c r="BA23" s="123">
        <f t="shared" si="4"/>
        <v>0</v>
      </c>
      <c r="BB23" s="123">
        <f t="shared" si="4"/>
        <v>0</v>
      </c>
      <c r="BC23" s="123">
        <f t="shared" si="4"/>
        <v>0</v>
      </c>
      <c r="BD23" s="123">
        <f t="shared" si="4"/>
        <v>0</v>
      </c>
      <c r="BE23" s="123">
        <f t="shared" si="4"/>
        <v>0</v>
      </c>
      <c r="BF23" s="123">
        <f t="shared" si="4"/>
        <v>0</v>
      </c>
      <c r="BG23" s="123">
        <f t="shared" si="4"/>
        <v>0</v>
      </c>
      <c r="BH23" s="123">
        <f t="shared" si="4"/>
        <v>0</v>
      </c>
      <c r="BI23" s="123">
        <f t="shared" si="4"/>
        <v>0</v>
      </c>
      <c r="BJ23" s="123">
        <f t="shared" si="4"/>
        <v>0</v>
      </c>
      <c r="BK23" s="123">
        <f t="shared" si="4"/>
        <v>1</v>
      </c>
      <c r="BL23" s="123">
        <f t="shared" si="4"/>
        <v>0</v>
      </c>
      <c r="BM23" s="123">
        <f t="shared" si="4"/>
        <v>0</v>
      </c>
      <c r="BN23" s="123">
        <f t="shared" ref="BN23:CG23" si="5">SUM(BN4:BN22)</f>
        <v>0</v>
      </c>
      <c r="BO23" s="123">
        <f t="shared" si="5"/>
        <v>0</v>
      </c>
      <c r="BP23" s="123">
        <f t="shared" si="5"/>
        <v>0</v>
      </c>
      <c r="BQ23" s="123">
        <f t="shared" si="5"/>
        <v>0</v>
      </c>
      <c r="BR23" s="123">
        <f t="shared" si="5"/>
        <v>0</v>
      </c>
      <c r="BS23" s="123">
        <f t="shared" si="5"/>
        <v>0</v>
      </c>
      <c r="BT23" s="123">
        <f t="shared" si="5"/>
        <v>0</v>
      </c>
      <c r="BU23" s="123">
        <f t="shared" si="5"/>
        <v>1</v>
      </c>
      <c r="BV23" s="123">
        <f t="shared" si="5"/>
        <v>0</v>
      </c>
      <c r="BW23" s="123">
        <f t="shared" si="5"/>
        <v>0</v>
      </c>
      <c r="BX23" s="123">
        <f t="shared" si="5"/>
        <v>0</v>
      </c>
      <c r="BY23" s="123">
        <f t="shared" si="5"/>
        <v>0</v>
      </c>
      <c r="BZ23" s="123">
        <f t="shared" si="5"/>
        <v>0</v>
      </c>
      <c r="CA23" s="123">
        <f t="shared" si="5"/>
        <v>0</v>
      </c>
      <c r="CB23" s="123">
        <f t="shared" si="5"/>
        <v>0</v>
      </c>
      <c r="CC23" s="123">
        <f t="shared" si="5"/>
        <v>0</v>
      </c>
      <c r="CD23" s="123">
        <f t="shared" si="5"/>
        <v>0</v>
      </c>
      <c r="CE23" s="121">
        <f t="shared" si="5"/>
        <v>0</v>
      </c>
      <c r="CF23" s="121">
        <f t="shared" si="5"/>
        <v>9</v>
      </c>
      <c r="CG23" s="121">
        <f t="shared" si="5"/>
        <v>9</v>
      </c>
      <c r="CH23" s="129">
        <f>IFERROR(CG23/CG24*100,0)</f>
        <v>0</v>
      </c>
      <c r="CI23" s="14"/>
      <c r="CJ23" s="14"/>
      <c r="CK23" s="14"/>
    </row>
    <row r="24" spans="1:89" ht="13.5" customHeight="1" x14ac:dyDescent="0.15">
      <c r="A24" s="125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4"/>
      <c r="CI24" s="14"/>
      <c r="CJ24" s="14"/>
      <c r="CK24" s="14"/>
    </row>
    <row r="25" spans="1:89" ht="13.5" customHeight="1" x14ac:dyDescent="0.1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</row>
    <row r="26" spans="1:89" ht="13.5" customHeight="1" x14ac:dyDescent="0.1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</row>
    <row r="27" spans="1:89" ht="13.5" customHeight="1" x14ac:dyDescent="0.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</row>
    <row r="28" spans="1:89" ht="13.5" customHeight="1" x14ac:dyDescent="0.1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</row>
    <row r="29" spans="1:89" ht="13.5" customHeight="1" x14ac:dyDescent="0.1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</row>
    <row r="30" spans="1:89" ht="13.5" customHeight="1" x14ac:dyDescent="0.2">
      <c r="A30" s="130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</row>
    <row r="31" spans="1:89" ht="13.5" customHeight="1" x14ac:dyDescent="0.2">
      <c r="A31" s="130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</row>
    <row r="32" spans="1:89" ht="13.5" customHeight="1" x14ac:dyDescent="0.2">
      <c r="A32" s="130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  <c r="CK32" s="130"/>
    </row>
    <row r="33" spans="1:89" ht="13.5" customHeight="1" x14ac:dyDescent="0.2">
      <c r="A33" s="130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  <c r="CK33" s="130"/>
    </row>
    <row r="34" spans="1:89" ht="13.5" customHeight="1" x14ac:dyDescent="0.2">
      <c r="A34" s="130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  <c r="CK34" s="130"/>
    </row>
    <row r="35" spans="1:89" ht="13.5" customHeight="1" x14ac:dyDescent="0.2">
      <c r="A35" s="130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  <c r="CK35" s="130"/>
    </row>
    <row r="36" spans="1:89" ht="13.5" customHeight="1" x14ac:dyDescent="0.2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  <c r="BN36" s="130"/>
      <c r="BO36" s="130"/>
      <c r="BP36" s="130"/>
      <c r="BQ36" s="130"/>
      <c r="BR36" s="130"/>
      <c r="BS36" s="130"/>
      <c r="BT36" s="130"/>
      <c r="BU36" s="130"/>
      <c r="BV36" s="130"/>
      <c r="BW36" s="130"/>
      <c r="BX36" s="130"/>
      <c r="BY36" s="130"/>
      <c r="BZ36" s="130"/>
      <c r="CA36" s="130"/>
      <c r="CB36" s="130"/>
      <c r="CC36" s="130"/>
      <c r="CD36" s="130"/>
      <c r="CE36" s="130"/>
      <c r="CF36" s="130"/>
      <c r="CG36" s="130"/>
      <c r="CH36" s="130"/>
      <c r="CI36" s="130"/>
      <c r="CJ36" s="130"/>
      <c r="CK36" s="130"/>
    </row>
    <row r="37" spans="1:89" ht="13.5" customHeight="1" x14ac:dyDescent="0.2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  <c r="CF37" s="130"/>
      <c r="CG37" s="130"/>
      <c r="CH37" s="130"/>
      <c r="CI37" s="130"/>
      <c r="CJ37" s="130"/>
      <c r="CK37" s="130"/>
    </row>
    <row r="38" spans="1:89" ht="13.5" customHeight="1" x14ac:dyDescent="0.2">
      <c r="A38" s="130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  <c r="BN38" s="130"/>
      <c r="BO38" s="130"/>
      <c r="BP38" s="130"/>
      <c r="BQ38" s="130"/>
      <c r="BR38" s="130"/>
      <c r="BS38" s="130"/>
      <c r="BT38" s="130"/>
      <c r="BU38" s="130"/>
      <c r="BV38" s="130"/>
      <c r="BW38" s="130"/>
      <c r="BX38" s="130"/>
      <c r="BY38" s="130"/>
      <c r="BZ38" s="130"/>
      <c r="CA38" s="130"/>
      <c r="CB38" s="130"/>
      <c r="CC38" s="130"/>
      <c r="CD38" s="130"/>
      <c r="CE38" s="130"/>
      <c r="CF38" s="130"/>
      <c r="CG38" s="130"/>
      <c r="CH38" s="130"/>
      <c r="CI38" s="130"/>
      <c r="CJ38" s="130"/>
      <c r="CK38" s="130"/>
    </row>
    <row r="39" spans="1:89" ht="10.5" customHeight="1" x14ac:dyDescent="0.2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  <c r="BN39" s="130"/>
      <c r="BO39" s="130"/>
      <c r="BP39" s="130"/>
      <c r="BQ39" s="130"/>
      <c r="BR39" s="130"/>
      <c r="BS39" s="130"/>
      <c r="BT39" s="130"/>
      <c r="BU39" s="130"/>
      <c r="BV39" s="130"/>
      <c r="BW39" s="130"/>
      <c r="BX39" s="130"/>
      <c r="BY39" s="130"/>
      <c r="BZ39" s="130"/>
      <c r="CA39" s="130"/>
      <c r="CB39" s="130"/>
      <c r="CC39" s="130"/>
      <c r="CD39" s="130"/>
      <c r="CE39" s="130"/>
      <c r="CF39" s="130"/>
      <c r="CG39" s="130"/>
      <c r="CH39" s="130"/>
      <c r="CI39" s="130"/>
      <c r="CJ39" s="130"/>
      <c r="CK39" s="130"/>
    </row>
    <row r="40" spans="1:89" ht="10.5" customHeight="1" x14ac:dyDescent="0.2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0"/>
      <c r="BH40" s="130"/>
      <c r="BI40" s="130"/>
      <c r="BJ40" s="130"/>
      <c r="BK40" s="130"/>
      <c r="BL40" s="130"/>
      <c r="BM40" s="130"/>
      <c r="BN40" s="130"/>
      <c r="BO40" s="130"/>
      <c r="BP40" s="130"/>
      <c r="BQ40" s="130"/>
      <c r="BR40" s="130"/>
      <c r="BS40" s="130"/>
      <c r="BT40" s="130"/>
      <c r="BU40" s="130"/>
      <c r="BV40" s="130"/>
      <c r="BW40" s="130"/>
      <c r="BX40" s="130"/>
      <c r="BY40" s="130"/>
      <c r="BZ40" s="130"/>
      <c r="CA40" s="130"/>
      <c r="CB40" s="130"/>
      <c r="CC40" s="130"/>
      <c r="CD40" s="130"/>
      <c r="CE40" s="130"/>
      <c r="CF40" s="130"/>
      <c r="CG40" s="130"/>
      <c r="CH40" s="130"/>
      <c r="CI40" s="130"/>
      <c r="CJ40" s="130"/>
      <c r="CK40" s="130"/>
    </row>
    <row r="41" spans="1:89" ht="10.5" customHeight="1" x14ac:dyDescent="0.2">
      <c r="A41" s="131"/>
      <c r="B41" s="132"/>
      <c r="C41" s="132"/>
      <c r="D41" s="132"/>
      <c r="E41" s="132"/>
      <c r="F41" s="132"/>
      <c r="G41" s="132"/>
      <c r="H41" s="132"/>
      <c r="I41" s="132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130"/>
      <c r="BK41" s="130"/>
      <c r="BL41" s="130"/>
      <c r="BM41" s="130"/>
      <c r="BN41" s="130"/>
      <c r="BO41" s="130"/>
      <c r="BP41" s="130"/>
      <c r="BQ41" s="130"/>
      <c r="BR41" s="130"/>
      <c r="BS41" s="130"/>
      <c r="BT41" s="130"/>
      <c r="BU41" s="130"/>
      <c r="BV41" s="130"/>
      <c r="BW41" s="130"/>
      <c r="BX41" s="130"/>
      <c r="BY41" s="130"/>
      <c r="BZ41" s="130"/>
      <c r="CA41" s="130"/>
      <c r="CB41" s="130"/>
      <c r="CC41" s="130"/>
      <c r="CD41" s="130"/>
      <c r="CE41" s="130"/>
      <c r="CF41" s="130"/>
      <c r="CG41" s="130"/>
      <c r="CH41" s="130"/>
      <c r="CI41" s="130"/>
      <c r="CJ41" s="130"/>
      <c r="CK41" s="130"/>
    </row>
    <row r="42" spans="1:89" ht="10.5" customHeight="1" x14ac:dyDescent="0.2">
      <c r="A42" s="131"/>
      <c r="B42" s="132"/>
      <c r="C42" s="132"/>
      <c r="D42" s="132"/>
      <c r="E42" s="132"/>
      <c r="F42" s="132"/>
      <c r="G42" s="132"/>
      <c r="H42" s="132"/>
      <c r="I42" s="132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  <c r="BL42" s="130"/>
      <c r="BM42" s="130"/>
      <c r="BN42" s="130"/>
      <c r="BO42" s="130"/>
      <c r="BP42" s="130"/>
      <c r="BQ42" s="130"/>
      <c r="BR42" s="130"/>
      <c r="BS42" s="130"/>
      <c r="BT42" s="130"/>
      <c r="BU42" s="130"/>
      <c r="BV42" s="130"/>
      <c r="BW42" s="130"/>
      <c r="BX42" s="130"/>
      <c r="BY42" s="130"/>
      <c r="BZ42" s="130"/>
      <c r="CA42" s="130"/>
      <c r="CB42" s="130"/>
      <c r="CC42" s="130"/>
      <c r="CD42" s="130"/>
      <c r="CE42" s="130"/>
      <c r="CF42" s="130"/>
      <c r="CG42" s="130"/>
      <c r="CH42" s="130"/>
      <c r="CI42" s="130"/>
      <c r="CJ42" s="130"/>
      <c r="CK42" s="130"/>
    </row>
    <row r="43" spans="1:89" ht="10.5" customHeight="1" x14ac:dyDescent="0.2">
      <c r="A43" s="131"/>
      <c r="B43" s="132"/>
      <c r="C43" s="132"/>
      <c r="D43" s="132"/>
      <c r="E43" s="132"/>
      <c r="F43" s="132"/>
      <c r="G43" s="132"/>
      <c r="H43" s="132"/>
      <c r="I43" s="132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  <c r="BN43" s="130"/>
      <c r="BO43" s="130"/>
      <c r="BP43" s="130"/>
      <c r="BQ43" s="130"/>
      <c r="BR43" s="130"/>
      <c r="BS43" s="130"/>
      <c r="BT43" s="130"/>
      <c r="BU43" s="130"/>
      <c r="BV43" s="130"/>
      <c r="BW43" s="130"/>
      <c r="BX43" s="130"/>
      <c r="BY43" s="130"/>
      <c r="BZ43" s="130"/>
      <c r="CA43" s="130"/>
      <c r="CB43" s="130"/>
      <c r="CC43" s="130"/>
      <c r="CD43" s="130"/>
      <c r="CE43" s="130"/>
      <c r="CF43" s="130"/>
      <c r="CG43" s="130"/>
      <c r="CH43" s="130"/>
      <c r="CI43" s="130"/>
      <c r="CJ43" s="130"/>
      <c r="CK43" s="130"/>
    </row>
    <row r="44" spans="1:89" ht="10.5" customHeight="1" x14ac:dyDescent="0.2">
      <c r="A44" s="131"/>
      <c r="B44" s="132"/>
      <c r="C44" s="132"/>
      <c r="D44" s="132"/>
      <c r="E44" s="132"/>
      <c r="F44" s="132"/>
      <c r="G44" s="132"/>
      <c r="H44" s="132"/>
      <c r="I44" s="132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30"/>
      <c r="AY44" s="130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  <c r="BJ44" s="130"/>
      <c r="BK44" s="130"/>
      <c r="BL44" s="130"/>
      <c r="BM44" s="130"/>
      <c r="BN44" s="130"/>
      <c r="BO44" s="130"/>
      <c r="BP44" s="130"/>
      <c r="BQ44" s="130"/>
      <c r="BR44" s="130"/>
      <c r="BS44" s="130"/>
      <c r="BT44" s="130"/>
      <c r="BU44" s="130"/>
      <c r="BV44" s="130"/>
      <c r="BW44" s="130"/>
      <c r="BX44" s="130"/>
      <c r="BY44" s="130"/>
      <c r="BZ44" s="130"/>
      <c r="CA44" s="130"/>
      <c r="CB44" s="130"/>
      <c r="CC44" s="130"/>
      <c r="CD44" s="130"/>
      <c r="CE44" s="130"/>
      <c r="CF44" s="130"/>
      <c r="CG44" s="130"/>
      <c r="CH44" s="130"/>
      <c r="CI44" s="130"/>
      <c r="CJ44" s="130"/>
      <c r="CK44" s="130"/>
    </row>
    <row r="45" spans="1:89" ht="10.5" customHeight="1" x14ac:dyDescent="0.2">
      <c r="A45" s="131"/>
      <c r="B45" s="132"/>
      <c r="C45" s="132"/>
      <c r="D45" s="132"/>
      <c r="E45" s="132"/>
      <c r="F45" s="132"/>
      <c r="G45" s="132"/>
      <c r="H45" s="132"/>
      <c r="I45" s="132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  <c r="BN45" s="130"/>
      <c r="BO45" s="130"/>
      <c r="BP45" s="130"/>
      <c r="BQ45" s="130"/>
      <c r="BR45" s="130"/>
      <c r="BS45" s="130"/>
      <c r="BT45" s="130"/>
      <c r="BU45" s="130"/>
      <c r="BV45" s="130"/>
      <c r="BW45" s="130"/>
      <c r="BX45" s="130"/>
      <c r="BY45" s="130"/>
      <c r="BZ45" s="130"/>
      <c r="CA45" s="130"/>
      <c r="CB45" s="130"/>
      <c r="CC45" s="130"/>
      <c r="CD45" s="130"/>
      <c r="CE45" s="130"/>
      <c r="CF45" s="130"/>
      <c r="CG45" s="130"/>
      <c r="CH45" s="130"/>
      <c r="CI45" s="130"/>
      <c r="CJ45" s="130"/>
      <c r="CK45" s="130"/>
    </row>
    <row r="46" spans="1:89" ht="10.5" customHeight="1" x14ac:dyDescent="0.2">
      <c r="A46" s="131"/>
      <c r="B46" s="132"/>
      <c r="C46" s="132"/>
      <c r="D46" s="132"/>
      <c r="E46" s="132"/>
      <c r="F46" s="132"/>
      <c r="G46" s="132"/>
      <c r="H46" s="132"/>
      <c r="I46" s="132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  <c r="BN46" s="130"/>
      <c r="BO46" s="130"/>
      <c r="BP46" s="130"/>
      <c r="BQ46" s="130"/>
      <c r="BR46" s="130"/>
      <c r="BS46" s="130"/>
      <c r="BT46" s="130"/>
      <c r="BU46" s="130"/>
      <c r="BV46" s="130"/>
      <c r="BW46" s="130"/>
      <c r="BX46" s="130"/>
      <c r="BY46" s="130"/>
      <c r="BZ46" s="130"/>
      <c r="CA46" s="130"/>
      <c r="CB46" s="130"/>
      <c r="CC46" s="130"/>
      <c r="CD46" s="130"/>
      <c r="CE46" s="130"/>
      <c r="CF46" s="130"/>
      <c r="CG46" s="130"/>
      <c r="CH46" s="130"/>
      <c r="CI46" s="130"/>
      <c r="CJ46" s="130"/>
      <c r="CK46" s="130"/>
    </row>
    <row r="47" spans="1:89" ht="10.5" customHeight="1" x14ac:dyDescent="0.2">
      <c r="A47" s="131"/>
      <c r="B47" s="132"/>
      <c r="C47" s="132"/>
      <c r="D47" s="132"/>
      <c r="E47" s="132"/>
      <c r="F47" s="132"/>
      <c r="G47" s="132"/>
      <c r="H47" s="132"/>
      <c r="I47" s="132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30"/>
      <c r="BC47" s="130"/>
      <c r="BD47" s="130"/>
      <c r="BE47" s="130"/>
      <c r="BF47" s="130"/>
      <c r="BG47" s="130"/>
      <c r="BH47" s="130"/>
      <c r="BI47" s="130"/>
      <c r="BJ47" s="130"/>
      <c r="BK47" s="130"/>
      <c r="BL47" s="130"/>
      <c r="BM47" s="130"/>
      <c r="BN47" s="130"/>
      <c r="BO47" s="130"/>
      <c r="BP47" s="130"/>
      <c r="BQ47" s="130"/>
      <c r="BR47" s="130"/>
      <c r="BS47" s="130"/>
      <c r="BT47" s="130"/>
      <c r="BU47" s="130"/>
      <c r="BV47" s="130"/>
      <c r="BW47" s="130"/>
      <c r="BX47" s="130"/>
      <c r="BY47" s="130"/>
      <c r="BZ47" s="130"/>
      <c r="CA47" s="130"/>
      <c r="CB47" s="130"/>
      <c r="CC47" s="130"/>
      <c r="CD47" s="130"/>
      <c r="CE47" s="130"/>
      <c r="CF47" s="130"/>
      <c r="CG47" s="130"/>
      <c r="CH47" s="130"/>
      <c r="CI47" s="130"/>
      <c r="CJ47" s="130"/>
      <c r="CK47" s="130"/>
    </row>
    <row r="48" spans="1:89" ht="10.5" customHeight="1" x14ac:dyDescent="0.2">
      <c r="A48" s="131"/>
      <c r="B48" s="132"/>
      <c r="C48" s="132"/>
      <c r="D48" s="132"/>
      <c r="E48" s="132"/>
      <c r="F48" s="132"/>
      <c r="G48" s="132"/>
      <c r="H48" s="132"/>
      <c r="I48" s="132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  <c r="BN48" s="130"/>
      <c r="BO48" s="130"/>
      <c r="BP48" s="130"/>
      <c r="BQ48" s="130"/>
      <c r="BR48" s="130"/>
      <c r="BS48" s="130"/>
      <c r="BT48" s="130"/>
      <c r="BU48" s="130"/>
      <c r="BV48" s="130"/>
      <c r="BW48" s="130"/>
      <c r="BX48" s="130"/>
      <c r="BY48" s="130"/>
      <c r="BZ48" s="130"/>
      <c r="CA48" s="130"/>
      <c r="CB48" s="130"/>
      <c r="CC48" s="130"/>
      <c r="CD48" s="130"/>
      <c r="CE48" s="130"/>
      <c r="CF48" s="130"/>
      <c r="CG48" s="130"/>
      <c r="CH48" s="130"/>
      <c r="CI48" s="130"/>
      <c r="CJ48" s="130"/>
      <c r="CK48" s="130"/>
    </row>
    <row r="49" spans="1:89" ht="10.5" customHeight="1" x14ac:dyDescent="0.2">
      <c r="A49" s="131"/>
      <c r="B49" s="132"/>
      <c r="C49" s="132"/>
      <c r="D49" s="132"/>
      <c r="E49" s="132"/>
      <c r="F49" s="132"/>
      <c r="G49" s="132"/>
      <c r="H49" s="132"/>
      <c r="I49" s="132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30"/>
      <c r="BN49" s="130"/>
      <c r="BO49" s="130"/>
      <c r="BP49" s="130"/>
      <c r="BQ49" s="130"/>
      <c r="BR49" s="130"/>
      <c r="BS49" s="130"/>
      <c r="BT49" s="130"/>
      <c r="BU49" s="130"/>
      <c r="BV49" s="130"/>
      <c r="BW49" s="130"/>
      <c r="BX49" s="130"/>
      <c r="BY49" s="130"/>
      <c r="BZ49" s="130"/>
      <c r="CA49" s="130"/>
      <c r="CB49" s="130"/>
      <c r="CC49" s="130"/>
      <c r="CD49" s="130"/>
      <c r="CE49" s="130"/>
      <c r="CF49" s="130"/>
      <c r="CG49" s="130"/>
      <c r="CH49" s="130"/>
      <c r="CI49" s="130"/>
      <c r="CJ49" s="130"/>
      <c r="CK49" s="130"/>
    </row>
    <row r="50" spans="1:89" ht="10.5" customHeight="1" x14ac:dyDescent="0.2">
      <c r="A50" s="131"/>
      <c r="B50" s="132"/>
      <c r="C50" s="132"/>
      <c r="D50" s="132"/>
      <c r="E50" s="132"/>
      <c r="F50" s="132"/>
      <c r="G50" s="132"/>
      <c r="H50" s="132"/>
      <c r="I50" s="132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  <c r="BN50" s="130"/>
      <c r="BO50" s="130"/>
      <c r="BP50" s="130"/>
      <c r="BQ50" s="130"/>
      <c r="BR50" s="130"/>
      <c r="BS50" s="130"/>
      <c r="BT50" s="130"/>
      <c r="BU50" s="130"/>
      <c r="BV50" s="130"/>
      <c r="BW50" s="130"/>
      <c r="BX50" s="130"/>
      <c r="BY50" s="130"/>
      <c r="BZ50" s="130"/>
      <c r="CA50" s="130"/>
      <c r="CB50" s="130"/>
      <c r="CC50" s="130"/>
      <c r="CD50" s="130"/>
      <c r="CE50" s="130"/>
      <c r="CF50" s="130"/>
      <c r="CG50" s="130"/>
      <c r="CH50" s="130"/>
      <c r="CI50" s="130"/>
      <c r="CJ50" s="130"/>
      <c r="CK50" s="130"/>
    </row>
    <row r="51" spans="1:89" ht="10.5" customHeight="1" x14ac:dyDescent="0.2">
      <c r="A51" s="131"/>
      <c r="B51" s="132"/>
      <c r="C51" s="132"/>
      <c r="D51" s="132"/>
      <c r="E51" s="132"/>
      <c r="F51" s="132"/>
      <c r="G51" s="132"/>
      <c r="H51" s="132"/>
      <c r="I51" s="132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130"/>
      <c r="BN51" s="130"/>
      <c r="BO51" s="130"/>
      <c r="BP51" s="130"/>
      <c r="BQ51" s="130"/>
      <c r="BR51" s="130"/>
      <c r="BS51" s="130"/>
      <c r="BT51" s="130"/>
      <c r="BU51" s="130"/>
      <c r="BV51" s="130"/>
      <c r="BW51" s="130"/>
      <c r="BX51" s="130"/>
      <c r="BY51" s="130"/>
      <c r="BZ51" s="130"/>
      <c r="CA51" s="130"/>
      <c r="CB51" s="130"/>
      <c r="CC51" s="130"/>
      <c r="CD51" s="130"/>
      <c r="CE51" s="130"/>
      <c r="CF51" s="130"/>
      <c r="CG51" s="130"/>
      <c r="CH51" s="130"/>
      <c r="CI51" s="130"/>
      <c r="CJ51" s="130"/>
      <c r="CK51" s="130"/>
    </row>
    <row r="52" spans="1:89" ht="10.5" customHeight="1" x14ac:dyDescent="0.2">
      <c r="A52" s="131"/>
      <c r="B52" s="132"/>
      <c r="C52" s="132"/>
      <c r="D52" s="132"/>
      <c r="E52" s="132"/>
      <c r="F52" s="132"/>
      <c r="G52" s="132"/>
      <c r="H52" s="132"/>
      <c r="I52" s="132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  <c r="BN52" s="130"/>
      <c r="BO52" s="130"/>
      <c r="BP52" s="130"/>
      <c r="BQ52" s="130"/>
      <c r="BR52" s="130"/>
      <c r="BS52" s="130"/>
      <c r="BT52" s="130"/>
      <c r="BU52" s="130"/>
      <c r="BV52" s="130"/>
      <c r="BW52" s="130"/>
      <c r="BX52" s="130"/>
      <c r="BY52" s="130"/>
      <c r="BZ52" s="130"/>
      <c r="CA52" s="130"/>
      <c r="CB52" s="130"/>
      <c r="CC52" s="130"/>
      <c r="CD52" s="130"/>
      <c r="CE52" s="130"/>
      <c r="CF52" s="130"/>
      <c r="CG52" s="130"/>
      <c r="CH52" s="130"/>
      <c r="CI52" s="130"/>
      <c r="CJ52" s="130"/>
      <c r="CK52" s="130"/>
    </row>
    <row r="53" spans="1:89" ht="10.5" customHeight="1" x14ac:dyDescent="0.2">
      <c r="A53" s="131"/>
      <c r="B53" s="132"/>
      <c r="C53" s="132"/>
      <c r="D53" s="132"/>
      <c r="E53" s="132"/>
      <c r="F53" s="132"/>
      <c r="G53" s="132"/>
      <c r="H53" s="132"/>
      <c r="I53" s="132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  <c r="BN53" s="130"/>
      <c r="BO53" s="130"/>
      <c r="BP53" s="130"/>
      <c r="BQ53" s="130"/>
      <c r="BR53" s="130"/>
      <c r="BS53" s="130"/>
      <c r="BT53" s="130"/>
      <c r="BU53" s="130"/>
      <c r="BV53" s="130"/>
      <c r="BW53" s="130"/>
      <c r="BX53" s="130"/>
      <c r="BY53" s="130"/>
      <c r="BZ53" s="130"/>
      <c r="CA53" s="130"/>
      <c r="CB53" s="130"/>
      <c r="CC53" s="130"/>
      <c r="CD53" s="130"/>
      <c r="CE53" s="130"/>
      <c r="CF53" s="130"/>
      <c r="CG53" s="130"/>
      <c r="CH53" s="130"/>
      <c r="CI53" s="130"/>
      <c r="CJ53" s="130"/>
      <c r="CK53" s="130"/>
    </row>
    <row r="54" spans="1:89" ht="10.5" customHeight="1" x14ac:dyDescent="0.2">
      <c r="A54" s="131"/>
      <c r="B54" s="132"/>
      <c r="C54" s="132"/>
      <c r="D54" s="132"/>
      <c r="E54" s="132"/>
      <c r="F54" s="132"/>
      <c r="G54" s="132"/>
      <c r="H54" s="132"/>
      <c r="I54" s="132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0"/>
      <c r="BM54" s="130"/>
      <c r="BN54" s="130"/>
      <c r="BO54" s="130"/>
      <c r="BP54" s="130"/>
      <c r="BQ54" s="130"/>
      <c r="BR54" s="130"/>
      <c r="BS54" s="130"/>
      <c r="BT54" s="130"/>
      <c r="BU54" s="130"/>
      <c r="BV54" s="130"/>
      <c r="BW54" s="130"/>
      <c r="BX54" s="130"/>
      <c r="BY54" s="130"/>
      <c r="BZ54" s="130"/>
      <c r="CA54" s="130"/>
      <c r="CB54" s="130"/>
      <c r="CC54" s="130"/>
      <c r="CD54" s="130"/>
      <c r="CE54" s="130"/>
      <c r="CF54" s="130"/>
      <c r="CG54" s="130"/>
      <c r="CH54" s="130"/>
      <c r="CI54" s="130"/>
      <c r="CJ54" s="130"/>
      <c r="CK54" s="130"/>
    </row>
    <row r="55" spans="1:89" ht="10.5" customHeight="1" x14ac:dyDescent="0.2">
      <c r="A55" s="131"/>
      <c r="B55" s="132"/>
      <c r="C55" s="132"/>
      <c r="D55" s="132"/>
      <c r="E55" s="132"/>
      <c r="F55" s="132"/>
      <c r="G55" s="132"/>
      <c r="H55" s="132"/>
      <c r="I55" s="132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  <c r="BN55" s="130"/>
      <c r="BO55" s="130"/>
      <c r="BP55" s="130"/>
      <c r="BQ55" s="130"/>
      <c r="BR55" s="130"/>
      <c r="BS55" s="130"/>
      <c r="BT55" s="130"/>
      <c r="BU55" s="130"/>
      <c r="BV55" s="130"/>
      <c r="BW55" s="130"/>
      <c r="BX55" s="130"/>
      <c r="BY55" s="130"/>
      <c r="BZ55" s="130"/>
      <c r="CA55" s="130"/>
      <c r="CB55" s="130"/>
      <c r="CC55" s="130"/>
      <c r="CD55" s="130"/>
      <c r="CE55" s="130"/>
      <c r="CF55" s="130"/>
      <c r="CG55" s="130"/>
      <c r="CH55" s="130"/>
      <c r="CI55" s="130"/>
      <c r="CJ55" s="130"/>
      <c r="CK55" s="130"/>
    </row>
    <row r="56" spans="1:89" ht="10.5" customHeight="1" x14ac:dyDescent="0.2">
      <c r="A56" s="131"/>
      <c r="B56" s="132"/>
      <c r="C56" s="132"/>
      <c r="D56" s="132"/>
      <c r="E56" s="132"/>
      <c r="F56" s="132"/>
      <c r="G56" s="132"/>
      <c r="H56" s="132"/>
      <c r="I56" s="132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130"/>
      <c r="BN56" s="130"/>
      <c r="BO56" s="130"/>
      <c r="BP56" s="130"/>
      <c r="BQ56" s="130"/>
      <c r="BR56" s="130"/>
      <c r="BS56" s="130"/>
      <c r="BT56" s="130"/>
      <c r="BU56" s="130"/>
      <c r="BV56" s="130"/>
      <c r="BW56" s="130"/>
      <c r="BX56" s="130"/>
      <c r="BY56" s="130"/>
      <c r="BZ56" s="130"/>
      <c r="CA56" s="130"/>
      <c r="CB56" s="130"/>
      <c r="CC56" s="130"/>
      <c r="CD56" s="130"/>
      <c r="CE56" s="130"/>
      <c r="CF56" s="130"/>
      <c r="CG56" s="130"/>
      <c r="CH56" s="130"/>
      <c r="CI56" s="130"/>
      <c r="CJ56" s="130"/>
      <c r="CK56" s="130"/>
    </row>
    <row r="57" spans="1:89" ht="10.5" customHeight="1" x14ac:dyDescent="0.2">
      <c r="A57" s="131"/>
      <c r="B57" s="132"/>
      <c r="C57" s="132"/>
      <c r="D57" s="132"/>
      <c r="E57" s="132"/>
      <c r="F57" s="132"/>
      <c r="G57" s="132"/>
      <c r="H57" s="132"/>
      <c r="I57" s="132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  <c r="BN57" s="130"/>
      <c r="BO57" s="130"/>
      <c r="BP57" s="130"/>
      <c r="BQ57" s="130"/>
      <c r="BR57" s="130"/>
      <c r="BS57" s="130"/>
      <c r="BT57" s="130"/>
      <c r="BU57" s="130"/>
      <c r="BV57" s="130"/>
      <c r="BW57" s="130"/>
      <c r="BX57" s="130"/>
      <c r="BY57" s="130"/>
      <c r="BZ57" s="130"/>
      <c r="CA57" s="130"/>
      <c r="CB57" s="130"/>
      <c r="CC57" s="130"/>
      <c r="CD57" s="130"/>
      <c r="CE57" s="130"/>
      <c r="CF57" s="130"/>
      <c r="CG57" s="130"/>
      <c r="CH57" s="130"/>
      <c r="CI57" s="130"/>
      <c r="CJ57" s="130"/>
      <c r="CK57" s="130"/>
    </row>
    <row r="58" spans="1:89" ht="10.5" customHeight="1" x14ac:dyDescent="0.2">
      <c r="A58" s="131"/>
      <c r="B58" s="132"/>
      <c r="C58" s="132"/>
      <c r="D58" s="132"/>
      <c r="E58" s="132"/>
      <c r="F58" s="132"/>
      <c r="G58" s="132"/>
      <c r="H58" s="132"/>
      <c r="I58" s="132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  <c r="BN58" s="130"/>
      <c r="BO58" s="130"/>
      <c r="BP58" s="130"/>
      <c r="BQ58" s="130"/>
      <c r="BR58" s="130"/>
      <c r="BS58" s="130"/>
      <c r="BT58" s="130"/>
      <c r="BU58" s="130"/>
      <c r="BV58" s="130"/>
      <c r="BW58" s="130"/>
      <c r="BX58" s="130"/>
      <c r="BY58" s="130"/>
      <c r="BZ58" s="130"/>
      <c r="CA58" s="130"/>
      <c r="CB58" s="130"/>
      <c r="CC58" s="130"/>
      <c r="CD58" s="130"/>
      <c r="CE58" s="130"/>
      <c r="CF58" s="130"/>
      <c r="CG58" s="130"/>
      <c r="CH58" s="130"/>
      <c r="CI58" s="130"/>
      <c r="CJ58" s="130"/>
      <c r="CK58" s="130"/>
    </row>
    <row r="59" spans="1:89" ht="10.5" customHeight="1" x14ac:dyDescent="0.2">
      <c r="A59" s="131"/>
      <c r="B59" s="132"/>
      <c r="C59" s="132"/>
      <c r="D59" s="132"/>
      <c r="E59" s="132"/>
      <c r="F59" s="132"/>
      <c r="G59" s="132"/>
      <c r="H59" s="132"/>
      <c r="I59" s="132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  <c r="BN59" s="130"/>
      <c r="BO59" s="130"/>
      <c r="BP59" s="130"/>
      <c r="BQ59" s="130"/>
      <c r="BR59" s="130"/>
      <c r="BS59" s="130"/>
      <c r="BT59" s="130"/>
      <c r="BU59" s="130"/>
      <c r="BV59" s="130"/>
      <c r="BW59" s="130"/>
      <c r="BX59" s="130"/>
      <c r="BY59" s="130"/>
      <c r="BZ59" s="130"/>
      <c r="CA59" s="130"/>
      <c r="CB59" s="130"/>
      <c r="CC59" s="130"/>
      <c r="CD59" s="130"/>
      <c r="CE59" s="130"/>
      <c r="CF59" s="130"/>
      <c r="CG59" s="130"/>
      <c r="CH59" s="130"/>
      <c r="CI59" s="130"/>
      <c r="CJ59" s="130"/>
      <c r="CK59" s="130"/>
    </row>
    <row r="60" spans="1:89" ht="10.5" customHeight="1" x14ac:dyDescent="0.2">
      <c r="A60" s="131"/>
      <c r="B60" s="132"/>
      <c r="C60" s="132"/>
      <c r="D60" s="132"/>
      <c r="E60" s="132"/>
      <c r="F60" s="132"/>
      <c r="G60" s="132"/>
      <c r="H60" s="132"/>
      <c r="I60" s="132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  <c r="BN60" s="130"/>
      <c r="BO60" s="130"/>
      <c r="BP60" s="130"/>
      <c r="BQ60" s="130"/>
      <c r="BR60" s="130"/>
      <c r="BS60" s="130"/>
      <c r="BT60" s="130"/>
      <c r="BU60" s="130"/>
      <c r="BV60" s="130"/>
      <c r="BW60" s="130"/>
      <c r="BX60" s="130"/>
      <c r="BY60" s="130"/>
      <c r="BZ60" s="130"/>
      <c r="CA60" s="130"/>
      <c r="CB60" s="130"/>
      <c r="CC60" s="130"/>
      <c r="CD60" s="130"/>
      <c r="CE60" s="130"/>
      <c r="CF60" s="130"/>
      <c r="CG60" s="130"/>
      <c r="CH60" s="130"/>
      <c r="CI60" s="130"/>
      <c r="CJ60" s="130"/>
      <c r="CK60" s="130"/>
    </row>
    <row r="61" spans="1:89" ht="10.5" customHeight="1" x14ac:dyDescent="0.2">
      <c r="A61" s="131"/>
      <c r="B61" s="132"/>
      <c r="C61" s="132"/>
      <c r="D61" s="132"/>
      <c r="E61" s="132"/>
      <c r="F61" s="132"/>
      <c r="G61" s="132"/>
      <c r="H61" s="132"/>
      <c r="I61" s="132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30"/>
      <c r="AN61" s="130"/>
      <c r="AO61" s="130"/>
      <c r="AP61" s="130"/>
      <c r="AQ61" s="130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0"/>
      <c r="BC61" s="130"/>
      <c r="BD61" s="130"/>
      <c r="BE61" s="130"/>
      <c r="BF61" s="130"/>
      <c r="BG61" s="130"/>
      <c r="BH61" s="130"/>
      <c r="BI61" s="130"/>
      <c r="BJ61" s="130"/>
      <c r="BK61" s="130"/>
      <c r="BL61" s="130"/>
      <c r="BM61" s="130"/>
      <c r="BN61" s="130"/>
      <c r="BO61" s="130"/>
      <c r="BP61" s="130"/>
      <c r="BQ61" s="130"/>
      <c r="BR61" s="130"/>
      <c r="BS61" s="130"/>
      <c r="BT61" s="130"/>
      <c r="BU61" s="130"/>
      <c r="BV61" s="130"/>
      <c r="BW61" s="130"/>
      <c r="BX61" s="130"/>
      <c r="BY61" s="130"/>
      <c r="BZ61" s="130"/>
      <c r="CA61" s="130"/>
      <c r="CB61" s="130"/>
      <c r="CC61" s="130"/>
      <c r="CD61" s="130"/>
      <c r="CE61" s="130"/>
      <c r="CF61" s="130"/>
      <c r="CG61" s="130"/>
      <c r="CH61" s="130"/>
      <c r="CI61" s="130"/>
      <c r="CJ61" s="130"/>
      <c r="CK61" s="130"/>
    </row>
    <row r="62" spans="1:89" ht="10.5" customHeight="1" x14ac:dyDescent="0.2">
      <c r="A62" s="131"/>
      <c r="B62" s="132"/>
      <c r="C62" s="132"/>
      <c r="D62" s="132"/>
      <c r="E62" s="132"/>
      <c r="F62" s="132"/>
      <c r="G62" s="132"/>
      <c r="H62" s="132"/>
      <c r="I62" s="132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130"/>
      <c r="AQ62" s="130"/>
      <c r="AR62" s="130"/>
      <c r="AS62" s="130"/>
      <c r="AT62" s="130"/>
      <c r="AU62" s="130"/>
      <c r="AV62" s="130"/>
      <c r="AW62" s="130"/>
      <c r="AX62" s="130"/>
      <c r="AY62" s="130"/>
      <c r="AZ62" s="130"/>
      <c r="BA62" s="130"/>
      <c r="BB62" s="130"/>
      <c r="BC62" s="130"/>
      <c r="BD62" s="130"/>
      <c r="BE62" s="130"/>
      <c r="BF62" s="130"/>
      <c r="BG62" s="130"/>
      <c r="BH62" s="130"/>
      <c r="BI62" s="130"/>
      <c r="BJ62" s="130"/>
      <c r="BK62" s="130"/>
      <c r="BL62" s="130"/>
      <c r="BM62" s="130"/>
      <c r="BN62" s="130"/>
      <c r="BO62" s="130"/>
      <c r="BP62" s="130"/>
      <c r="BQ62" s="130"/>
      <c r="BR62" s="130"/>
      <c r="BS62" s="130"/>
      <c r="BT62" s="130"/>
      <c r="BU62" s="130"/>
      <c r="BV62" s="130"/>
      <c r="BW62" s="130"/>
      <c r="BX62" s="130"/>
      <c r="BY62" s="130"/>
      <c r="BZ62" s="130"/>
      <c r="CA62" s="130"/>
      <c r="CB62" s="130"/>
      <c r="CC62" s="130"/>
      <c r="CD62" s="130"/>
      <c r="CE62" s="130"/>
      <c r="CF62" s="130"/>
      <c r="CG62" s="130"/>
      <c r="CH62" s="130"/>
      <c r="CI62" s="130"/>
      <c r="CJ62" s="130"/>
      <c r="CK62" s="130"/>
    </row>
    <row r="63" spans="1:89" ht="10.5" customHeight="1" x14ac:dyDescent="0.2">
      <c r="A63" s="131"/>
      <c r="B63" s="132"/>
      <c r="C63" s="132"/>
      <c r="D63" s="132"/>
      <c r="E63" s="132"/>
      <c r="F63" s="132"/>
      <c r="G63" s="132"/>
      <c r="H63" s="132"/>
      <c r="I63" s="132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  <c r="AN63" s="130"/>
      <c r="AO63" s="130"/>
      <c r="AP63" s="130"/>
      <c r="AQ63" s="130"/>
      <c r="AR63" s="130"/>
      <c r="AS63" s="130"/>
      <c r="AT63" s="130"/>
      <c r="AU63" s="130"/>
      <c r="AV63" s="130"/>
      <c r="AW63" s="130"/>
      <c r="AX63" s="130"/>
      <c r="AY63" s="130"/>
      <c r="AZ63" s="130"/>
      <c r="BA63" s="130"/>
      <c r="BB63" s="130"/>
      <c r="BC63" s="130"/>
      <c r="BD63" s="130"/>
      <c r="BE63" s="130"/>
      <c r="BF63" s="130"/>
      <c r="BG63" s="130"/>
      <c r="BH63" s="130"/>
      <c r="BI63" s="130"/>
      <c r="BJ63" s="130"/>
      <c r="BK63" s="130"/>
      <c r="BL63" s="130"/>
      <c r="BM63" s="130"/>
      <c r="BN63" s="130"/>
      <c r="BO63" s="130"/>
      <c r="BP63" s="130"/>
      <c r="BQ63" s="130"/>
      <c r="BR63" s="130"/>
      <c r="BS63" s="130"/>
      <c r="BT63" s="130"/>
      <c r="BU63" s="130"/>
      <c r="BV63" s="130"/>
      <c r="BW63" s="130"/>
      <c r="BX63" s="130"/>
      <c r="BY63" s="130"/>
      <c r="BZ63" s="130"/>
      <c r="CA63" s="130"/>
      <c r="CB63" s="130"/>
      <c r="CC63" s="130"/>
      <c r="CD63" s="130"/>
      <c r="CE63" s="130"/>
      <c r="CF63" s="130"/>
      <c r="CG63" s="130"/>
      <c r="CH63" s="130"/>
      <c r="CI63" s="130"/>
      <c r="CJ63" s="130"/>
      <c r="CK63" s="130"/>
    </row>
    <row r="64" spans="1:89" ht="10.5" customHeight="1" x14ac:dyDescent="0.2">
      <c r="A64" s="131"/>
      <c r="B64" s="132"/>
      <c r="C64" s="132"/>
      <c r="D64" s="132"/>
      <c r="E64" s="132"/>
      <c r="F64" s="132"/>
      <c r="G64" s="132"/>
      <c r="H64" s="132"/>
      <c r="I64" s="132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  <c r="AN64" s="130"/>
      <c r="AO64" s="130"/>
      <c r="AP64" s="130"/>
      <c r="AQ64" s="130"/>
      <c r="AR64" s="130"/>
      <c r="AS64" s="130"/>
      <c r="AT64" s="130"/>
      <c r="AU64" s="130"/>
      <c r="AV64" s="130"/>
      <c r="AW64" s="130"/>
      <c r="AX64" s="130"/>
      <c r="AY64" s="130"/>
      <c r="AZ64" s="130"/>
      <c r="BA64" s="130"/>
      <c r="BB64" s="130"/>
      <c r="BC64" s="130"/>
      <c r="BD64" s="130"/>
      <c r="BE64" s="130"/>
      <c r="BF64" s="130"/>
      <c r="BG64" s="130"/>
      <c r="BH64" s="130"/>
      <c r="BI64" s="130"/>
      <c r="BJ64" s="130"/>
      <c r="BK64" s="130"/>
      <c r="BL64" s="130"/>
      <c r="BM64" s="130"/>
      <c r="BN64" s="130"/>
      <c r="BO64" s="130"/>
      <c r="BP64" s="130"/>
      <c r="BQ64" s="130"/>
      <c r="BR64" s="130"/>
      <c r="BS64" s="130"/>
      <c r="BT64" s="130"/>
      <c r="BU64" s="130"/>
      <c r="BV64" s="130"/>
      <c r="BW64" s="130"/>
      <c r="BX64" s="130"/>
      <c r="BY64" s="130"/>
      <c r="BZ64" s="130"/>
      <c r="CA64" s="130"/>
      <c r="CB64" s="130"/>
      <c r="CC64" s="130"/>
      <c r="CD64" s="130"/>
      <c r="CE64" s="130"/>
      <c r="CF64" s="130"/>
      <c r="CG64" s="130"/>
      <c r="CH64" s="130"/>
      <c r="CI64" s="130"/>
      <c r="CJ64" s="130"/>
      <c r="CK64" s="130"/>
    </row>
    <row r="65" spans="1:89" ht="10.5" customHeight="1" x14ac:dyDescent="0.2">
      <c r="A65" s="131"/>
      <c r="B65" s="132"/>
      <c r="C65" s="132"/>
      <c r="D65" s="132"/>
      <c r="E65" s="132"/>
      <c r="F65" s="132"/>
      <c r="G65" s="132"/>
      <c r="H65" s="132"/>
      <c r="I65" s="132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  <c r="AQ65" s="130"/>
      <c r="AR65" s="130"/>
      <c r="AS65" s="130"/>
      <c r="AT65" s="130"/>
      <c r="AU65" s="130"/>
      <c r="AV65" s="130"/>
      <c r="AW65" s="130"/>
      <c r="AX65" s="130"/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  <c r="BL65" s="130"/>
      <c r="BM65" s="130"/>
      <c r="BN65" s="130"/>
      <c r="BO65" s="130"/>
      <c r="BP65" s="130"/>
      <c r="BQ65" s="130"/>
      <c r="BR65" s="130"/>
      <c r="BS65" s="130"/>
      <c r="BT65" s="130"/>
      <c r="BU65" s="130"/>
      <c r="BV65" s="130"/>
      <c r="BW65" s="130"/>
      <c r="BX65" s="130"/>
      <c r="BY65" s="130"/>
      <c r="BZ65" s="130"/>
      <c r="CA65" s="130"/>
      <c r="CB65" s="130"/>
      <c r="CC65" s="130"/>
      <c r="CD65" s="130"/>
      <c r="CE65" s="130"/>
      <c r="CF65" s="130"/>
      <c r="CG65" s="130"/>
      <c r="CH65" s="130"/>
      <c r="CI65" s="130"/>
      <c r="CJ65" s="130"/>
      <c r="CK65" s="130"/>
    </row>
    <row r="66" spans="1:89" ht="10.5" customHeight="1" x14ac:dyDescent="0.2">
      <c r="A66" s="131"/>
      <c r="B66" s="132"/>
      <c r="C66" s="132"/>
      <c r="D66" s="132"/>
      <c r="E66" s="132"/>
      <c r="F66" s="132"/>
      <c r="G66" s="132"/>
      <c r="H66" s="132"/>
      <c r="I66" s="132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  <c r="AN66" s="130"/>
      <c r="AO66" s="130"/>
      <c r="AP66" s="130"/>
      <c r="AQ66" s="130"/>
      <c r="AR66" s="130"/>
      <c r="AS66" s="130"/>
      <c r="AT66" s="130"/>
      <c r="AU66" s="130"/>
      <c r="AV66" s="130"/>
      <c r="AW66" s="130"/>
      <c r="AX66" s="130"/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  <c r="BN66" s="130"/>
      <c r="BO66" s="130"/>
      <c r="BP66" s="130"/>
      <c r="BQ66" s="130"/>
      <c r="BR66" s="130"/>
      <c r="BS66" s="130"/>
      <c r="BT66" s="130"/>
      <c r="BU66" s="130"/>
      <c r="BV66" s="130"/>
      <c r="BW66" s="130"/>
      <c r="BX66" s="130"/>
      <c r="BY66" s="130"/>
      <c r="BZ66" s="130"/>
      <c r="CA66" s="130"/>
      <c r="CB66" s="130"/>
      <c r="CC66" s="130"/>
      <c r="CD66" s="130"/>
      <c r="CE66" s="130"/>
      <c r="CF66" s="130"/>
      <c r="CG66" s="130"/>
      <c r="CH66" s="130"/>
      <c r="CI66" s="130"/>
      <c r="CJ66" s="130"/>
      <c r="CK66" s="130"/>
    </row>
    <row r="67" spans="1:89" ht="10.5" customHeight="1" x14ac:dyDescent="0.2">
      <c r="A67" s="131"/>
      <c r="B67" s="132"/>
      <c r="C67" s="132"/>
      <c r="D67" s="132"/>
      <c r="E67" s="132"/>
      <c r="F67" s="132"/>
      <c r="G67" s="132"/>
      <c r="H67" s="132"/>
      <c r="I67" s="132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  <c r="AN67" s="130"/>
      <c r="AO67" s="130"/>
      <c r="AP67" s="130"/>
      <c r="AQ67" s="130"/>
      <c r="AR67" s="130"/>
      <c r="AS67" s="130"/>
      <c r="AT67" s="130"/>
      <c r="AU67" s="130"/>
      <c r="AV67" s="130"/>
      <c r="AW67" s="130"/>
      <c r="AX67" s="130"/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  <c r="BK67" s="130"/>
      <c r="BL67" s="130"/>
      <c r="BM67" s="130"/>
      <c r="BN67" s="130"/>
      <c r="BO67" s="130"/>
      <c r="BP67" s="130"/>
      <c r="BQ67" s="130"/>
      <c r="BR67" s="130"/>
      <c r="BS67" s="130"/>
      <c r="BT67" s="130"/>
      <c r="BU67" s="130"/>
      <c r="BV67" s="130"/>
      <c r="BW67" s="130"/>
      <c r="BX67" s="130"/>
      <c r="BY67" s="130"/>
      <c r="BZ67" s="130"/>
      <c r="CA67" s="130"/>
      <c r="CB67" s="130"/>
      <c r="CC67" s="130"/>
      <c r="CD67" s="130"/>
      <c r="CE67" s="130"/>
      <c r="CF67" s="130"/>
      <c r="CG67" s="130"/>
      <c r="CH67" s="130"/>
      <c r="CI67" s="130"/>
      <c r="CJ67" s="130"/>
      <c r="CK67" s="130"/>
    </row>
    <row r="68" spans="1:89" ht="10.5" customHeight="1" x14ac:dyDescent="0.2">
      <c r="A68" s="131"/>
      <c r="B68" s="132"/>
      <c r="C68" s="132"/>
      <c r="D68" s="132"/>
      <c r="E68" s="132"/>
      <c r="F68" s="132"/>
      <c r="G68" s="132"/>
      <c r="H68" s="132"/>
      <c r="I68" s="132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30"/>
      <c r="AN68" s="130"/>
      <c r="AO68" s="130"/>
      <c r="AP68" s="130"/>
      <c r="AQ68" s="130"/>
      <c r="AR68" s="130"/>
      <c r="AS68" s="130"/>
      <c r="AT68" s="130"/>
      <c r="AU68" s="130"/>
      <c r="AV68" s="130"/>
      <c r="AW68" s="130"/>
      <c r="AX68" s="130"/>
      <c r="AY68" s="13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0"/>
      <c r="BN68" s="130"/>
      <c r="BO68" s="130"/>
      <c r="BP68" s="130"/>
      <c r="BQ68" s="130"/>
      <c r="BR68" s="130"/>
      <c r="BS68" s="130"/>
      <c r="BT68" s="130"/>
      <c r="BU68" s="130"/>
      <c r="BV68" s="130"/>
      <c r="BW68" s="130"/>
      <c r="BX68" s="130"/>
      <c r="BY68" s="130"/>
      <c r="BZ68" s="130"/>
      <c r="CA68" s="130"/>
      <c r="CB68" s="130"/>
      <c r="CC68" s="130"/>
      <c r="CD68" s="130"/>
      <c r="CE68" s="130"/>
      <c r="CF68" s="130"/>
      <c r="CG68" s="130"/>
      <c r="CH68" s="130"/>
      <c r="CI68" s="130"/>
      <c r="CJ68" s="130"/>
      <c r="CK68" s="130"/>
    </row>
    <row r="69" spans="1:89" ht="10.5" customHeight="1" x14ac:dyDescent="0.2">
      <c r="A69" s="131"/>
      <c r="B69" s="132"/>
      <c r="C69" s="132"/>
      <c r="D69" s="132"/>
      <c r="E69" s="132"/>
      <c r="F69" s="132"/>
      <c r="G69" s="132"/>
      <c r="H69" s="132"/>
      <c r="I69" s="132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  <c r="BI69" s="130"/>
      <c r="BJ69" s="130"/>
      <c r="BK69" s="130"/>
      <c r="BL69" s="130"/>
      <c r="BM69" s="130"/>
      <c r="BN69" s="130"/>
      <c r="BO69" s="130"/>
      <c r="BP69" s="130"/>
      <c r="BQ69" s="130"/>
      <c r="BR69" s="130"/>
      <c r="BS69" s="130"/>
      <c r="BT69" s="130"/>
      <c r="BU69" s="130"/>
      <c r="BV69" s="130"/>
      <c r="BW69" s="130"/>
      <c r="BX69" s="130"/>
      <c r="BY69" s="130"/>
      <c r="BZ69" s="130"/>
      <c r="CA69" s="130"/>
      <c r="CB69" s="130"/>
      <c r="CC69" s="130"/>
      <c r="CD69" s="130"/>
      <c r="CE69" s="130"/>
      <c r="CF69" s="130"/>
      <c r="CG69" s="130"/>
      <c r="CH69" s="130"/>
      <c r="CI69" s="130"/>
      <c r="CJ69" s="130"/>
      <c r="CK69" s="130"/>
    </row>
    <row r="70" spans="1:89" ht="10.5" customHeight="1" x14ac:dyDescent="0.2">
      <c r="A70" s="131"/>
      <c r="B70" s="132"/>
      <c r="C70" s="132"/>
      <c r="D70" s="132"/>
      <c r="E70" s="132"/>
      <c r="F70" s="132"/>
      <c r="G70" s="132"/>
      <c r="H70" s="132"/>
      <c r="I70" s="132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  <c r="AT70" s="130"/>
      <c r="AU70" s="130"/>
      <c r="AV70" s="130"/>
      <c r="AW70" s="130"/>
      <c r="AX70" s="130"/>
      <c r="AY70" s="130"/>
      <c r="AZ70" s="130"/>
      <c r="BA70" s="130"/>
      <c r="BB70" s="130"/>
      <c r="BC70" s="130"/>
      <c r="BD70" s="130"/>
      <c r="BE70" s="130"/>
      <c r="BF70" s="130"/>
      <c r="BG70" s="130"/>
      <c r="BH70" s="130"/>
      <c r="BI70" s="130"/>
      <c r="BJ70" s="130"/>
      <c r="BK70" s="130"/>
      <c r="BL70" s="130"/>
      <c r="BM70" s="130"/>
      <c r="BN70" s="130"/>
      <c r="BO70" s="130"/>
      <c r="BP70" s="130"/>
      <c r="BQ70" s="130"/>
      <c r="BR70" s="130"/>
      <c r="BS70" s="130"/>
      <c r="BT70" s="130"/>
      <c r="BU70" s="130"/>
      <c r="BV70" s="130"/>
      <c r="BW70" s="130"/>
      <c r="BX70" s="130"/>
      <c r="BY70" s="130"/>
      <c r="BZ70" s="130"/>
      <c r="CA70" s="130"/>
      <c r="CB70" s="130"/>
      <c r="CC70" s="130"/>
      <c r="CD70" s="130"/>
      <c r="CE70" s="130"/>
      <c r="CF70" s="130"/>
      <c r="CG70" s="130"/>
      <c r="CH70" s="130"/>
      <c r="CI70" s="130"/>
      <c r="CJ70" s="130"/>
      <c r="CK70" s="130"/>
    </row>
    <row r="71" spans="1:89" ht="10.5" customHeight="1" x14ac:dyDescent="0.2">
      <c r="A71" s="131"/>
      <c r="B71" s="132"/>
      <c r="C71" s="132"/>
      <c r="D71" s="132"/>
      <c r="E71" s="132"/>
      <c r="F71" s="132"/>
      <c r="G71" s="132"/>
      <c r="H71" s="132"/>
      <c r="I71" s="132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  <c r="AK71" s="130"/>
      <c r="AL71" s="130"/>
      <c r="AM71" s="130"/>
      <c r="AN71" s="130"/>
      <c r="AO71" s="130"/>
      <c r="AP71" s="130"/>
      <c r="AQ71" s="130"/>
      <c r="AR71" s="130"/>
      <c r="AS71" s="130"/>
      <c r="AT71" s="130"/>
      <c r="AU71" s="130"/>
      <c r="AV71" s="130"/>
      <c r="AW71" s="130"/>
      <c r="AX71" s="130"/>
      <c r="AY71" s="130"/>
      <c r="AZ71" s="130"/>
      <c r="BA71" s="130"/>
      <c r="BB71" s="130"/>
      <c r="BC71" s="130"/>
      <c r="BD71" s="130"/>
      <c r="BE71" s="130"/>
      <c r="BF71" s="130"/>
      <c r="BG71" s="130"/>
      <c r="BH71" s="130"/>
      <c r="BI71" s="130"/>
      <c r="BJ71" s="130"/>
      <c r="BK71" s="130"/>
      <c r="BL71" s="130"/>
      <c r="BM71" s="130"/>
      <c r="BN71" s="130"/>
      <c r="BO71" s="130"/>
      <c r="BP71" s="130"/>
      <c r="BQ71" s="130"/>
      <c r="BR71" s="130"/>
      <c r="BS71" s="130"/>
      <c r="BT71" s="130"/>
      <c r="BU71" s="130"/>
      <c r="BV71" s="130"/>
      <c r="BW71" s="130"/>
      <c r="BX71" s="130"/>
      <c r="BY71" s="130"/>
      <c r="BZ71" s="130"/>
      <c r="CA71" s="130"/>
      <c r="CB71" s="130"/>
      <c r="CC71" s="130"/>
      <c r="CD71" s="130"/>
      <c r="CE71" s="130"/>
      <c r="CF71" s="130"/>
      <c r="CG71" s="130"/>
      <c r="CH71" s="130"/>
      <c r="CI71" s="130"/>
      <c r="CJ71" s="130"/>
      <c r="CK71" s="130"/>
    </row>
    <row r="72" spans="1:89" ht="10.5" customHeight="1" x14ac:dyDescent="0.2">
      <c r="A72" s="131"/>
      <c r="B72" s="132"/>
      <c r="C72" s="132"/>
      <c r="D72" s="132"/>
      <c r="E72" s="132"/>
      <c r="F72" s="132"/>
      <c r="G72" s="132"/>
      <c r="H72" s="132"/>
      <c r="I72" s="132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  <c r="AK72" s="130"/>
      <c r="AL72" s="130"/>
      <c r="AM72" s="130"/>
      <c r="AN72" s="130"/>
      <c r="AO72" s="130"/>
      <c r="AP72" s="130"/>
      <c r="AQ72" s="130"/>
      <c r="AR72" s="130"/>
      <c r="AS72" s="130"/>
      <c r="AT72" s="130"/>
      <c r="AU72" s="130"/>
      <c r="AV72" s="130"/>
      <c r="AW72" s="130"/>
      <c r="AX72" s="130"/>
      <c r="AY72" s="130"/>
      <c r="AZ72" s="130"/>
      <c r="BA72" s="130"/>
      <c r="BB72" s="130"/>
      <c r="BC72" s="130"/>
      <c r="BD72" s="130"/>
      <c r="BE72" s="130"/>
      <c r="BF72" s="130"/>
      <c r="BG72" s="130"/>
      <c r="BH72" s="130"/>
      <c r="BI72" s="130"/>
      <c r="BJ72" s="130"/>
      <c r="BK72" s="130"/>
      <c r="BL72" s="130"/>
      <c r="BM72" s="130"/>
      <c r="BN72" s="130"/>
      <c r="BO72" s="130"/>
      <c r="BP72" s="130"/>
      <c r="BQ72" s="130"/>
      <c r="BR72" s="130"/>
      <c r="BS72" s="130"/>
      <c r="BT72" s="130"/>
      <c r="BU72" s="130"/>
      <c r="BV72" s="130"/>
      <c r="BW72" s="130"/>
      <c r="BX72" s="130"/>
      <c r="BY72" s="130"/>
      <c r="BZ72" s="130"/>
      <c r="CA72" s="130"/>
      <c r="CB72" s="130"/>
      <c r="CC72" s="130"/>
      <c r="CD72" s="130"/>
      <c r="CE72" s="130"/>
      <c r="CF72" s="130"/>
      <c r="CG72" s="130"/>
      <c r="CH72" s="130"/>
      <c r="CI72" s="130"/>
      <c r="CJ72" s="130"/>
      <c r="CK72" s="130"/>
    </row>
    <row r="73" spans="1:89" ht="12.75" customHeight="1" x14ac:dyDescent="0.2">
      <c r="A73" s="131"/>
      <c r="B73" s="132"/>
      <c r="C73" s="132"/>
      <c r="D73" s="132"/>
      <c r="E73" s="132"/>
      <c r="F73" s="132"/>
      <c r="G73" s="132"/>
      <c r="H73" s="132"/>
      <c r="I73" s="132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  <c r="AK73" s="130"/>
      <c r="AL73" s="130"/>
      <c r="AM73" s="130"/>
      <c r="AN73" s="130"/>
      <c r="AO73" s="130"/>
      <c r="AP73" s="130"/>
      <c r="AQ73" s="130"/>
      <c r="AR73" s="130"/>
      <c r="AS73" s="130"/>
      <c r="AT73" s="130"/>
      <c r="AU73" s="130"/>
      <c r="AV73" s="130"/>
      <c r="AW73" s="130"/>
      <c r="AX73" s="130"/>
      <c r="AY73" s="130"/>
      <c r="AZ73" s="130"/>
      <c r="BA73" s="130"/>
      <c r="BB73" s="130"/>
      <c r="BC73" s="130"/>
      <c r="BD73" s="130"/>
      <c r="BE73" s="130"/>
      <c r="BF73" s="130"/>
      <c r="BG73" s="130"/>
      <c r="BH73" s="130"/>
      <c r="BI73" s="130"/>
      <c r="BJ73" s="130"/>
      <c r="BK73" s="130"/>
      <c r="BL73" s="130"/>
      <c r="BM73" s="130"/>
      <c r="BN73" s="130"/>
      <c r="BO73" s="130"/>
      <c r="BP73" s="130"/>
      <c r="BQ73" s="130"/>
      <c r="BR73" s="130"/>
      <c r="BS73" s="130"/>
      <c r="BT73" s="130"/>
      <c r="BU73" s="130"/>
      <c r="BV73" s="130"/>
      <c r="BW73" s="130"/>
      <c r="BX73" s="130"/>
      <c r="BY73" s="130"/>
      <c r="BZ73" s="130"/>
      <c r="CA73" s="130"/>
      <c r="CB73" s="130"/>
      <c r="CC73" s="130"/>
      <c r="CD73" s="130"/>
      <c r="CE73" s="130"/>
      <c r="CF73" s="130"/>
      <c r="CG73" s="130"/>
      <c r="CH73" s="130"/>
      <c r="CI73" s="130"/>
      <c r="CJ73" s="130"/>
      <c r="CK73" s="130"/>
    </row>
    <row r="74" spans="1:89" ht="12.75" customHeight="1" x14ac:dyDescent="0.2">
      <c r="A74" s="131"/>
      <c r="B74" s="132"/>
      <c r="C74" s="132"/>
      <c r="D74" s="132"/>
      <c r="E74" s="132"/>
      <c r="F74" s="132"/>
      <c r="G74" s="132"/>
      <c r="H74" s="132"/>
      <c r="I74" s="132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  <c r="AQ74" s="130"/>
      <c r="AR74" s="130"/>
      <c r="AS74" s="130"/>
      <c r="AT74" s="130"/>
      <c r="AU74" s="130"/>
      <c r="AV74" s="130"/>
      <c r="AW74" s="130"/>
      <c r="AX74" s="130"/>
      <c r="AY74" s="130"/>
      <c r="AZ74" s="130"/>
      <c r="BA74" s="130"/>
      <c r="BB74" s="130"/>
      <c r="BC74" s="130"/>
      <c r="BD74" s="130"/>
      <c r="BE74" s="130"/>
      <c r="BF74" s="130"/>
      <c r="BG74" s="130"/>
      <c r="BH74" s="130"/>
      <c r="BI74" s="130"/>
      <c r="BJ74" s="130"/>
      <c r="BK74" s="130"/>
      <c r="BL74" s="130"/>
      <c r="BM74" s="130"/>
      <c r="BN74" s="130"/>
      <c r="BO74" s="130"/>
      <c r="BP74" s="130"/>
      <c r="BQ74" s="130"/>
      <c r="BR74" s="130"/>
      <c r="BS74" s="130"/>
      <c r="BT74" s="130"/>
      <c r="BU74" s="130"/>
      <c r="BV74" s="130"/>
      <c r="BW74" s="130"/>
      <c r="BX74" s="130"/>
      <c r="BY74" s="130"/>
      <c r="BZ74" s="130"/>
      <c r="CA74" s="130"/>
      <c r="CB74" s="130"/>
      <c r="CC74" s="130"/>
      <c r="CD74" s="130"/>
      <c r="CE74" s="130"/>
      <c r="CF74" s="130"/>
      <c r="CG74" s="130"/>
      <c r="CH74" s="130"/>
      <c r="CI74" s="130"/>
      <c r="CJ74" s="130"/>
      <c r="CK74" s="130"/>
    </row>
    <row r="75" spans="1:89" ht="12.75" customHeight="1" x14ac:dyDescent="0.2">
      <c r="A75" s="131"/>
      <c r="B75" s="132"/>
      <c r="C75" s="132"/>
      <c r="D75" s="132"/>
      <c r="E75" s="132"/>
      <c r="F75" s="132"/>
      <c r="G75" s="132"/>
      <c r="H75" s="132"/>
      <c r="I75" s="132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130"/>
      <c r="AQ75" s="130"/>
      <c r="AR75" s="130"/>
      <c r="AS75" s="130"/>
      <c r="AT75" s="130"/>
      <c r="AU75" s="130"/>
      <c r="AV75" s="130"/>
      <c r="AW75" s="130"/>
      <c r="AX75" s="130"/>
      <c r="AY75" s="130"/>
      <c r="AZ75" s="130"/>
      <c r="BA75" s="130"/>
      <c r="BB75" s="130"/>
      <c r="BC75" s="130"/>
      <c r="BD75" s="130"/>
      <c r="BE75" s="130"/>
      <c r="BF75" s="130"/>
      <c r="BG75" s="130"/>
      <c r="BH75" s="130"/>
      <c r="BI75" s="130"/>
      <c r="BJ75" s="130"/>
      <c r="BK75" s="130"/>
      <c r="BL75" s="130"/>
      <c r="BM75" s="130"/>
      <c r="BN75" s="130"/>
      <c r="BO75" s="130"/>
      <c r="BP75" s="130"/>
      <c r="BQ75" s="130"/>
      <c r="BR75" s="130"/>
      <c r="BS75" s="130"/>
      <c r="BT75" s="130"/>
      <c r="BU75" s="130"/>
      <c r="BV75" s="130"/>
      <c r="BW75" s="130"/>
      <c r="BX75" s="130"/>
      <c r="BY75" s="130"/>
      <c r="BZ75" s="130"/>
      <c r="CA75" s="130"/>
      <c r="CB75" s="130"/>
      <c r="CC75" s="130"/>
      <c r="CD75" s="130"/>
      <c r="CE75" s="130"/>
      <c r="CF75" s="130"/>
      <c r="CG75" s="130"/>
      <c r="CH75" s="130"/>
      <c r="CI75" s="130"/>
      <c r="CJ75" s="130"/>
      <c r="CK75" s="130"/>
    </row>
    <row r="76" spans="1:89" ht="12.75" customHeight="1" x14ac:dyDescent="0.2">
      <c r="A76" s="131"/>
      <c r="B76" s="132"/>
      <c r="C76" s="132"/>
      <c r="D76" s="132"/>
      <c r="E76" s="132"/>
      <c r="F76" s="132"/>
      <c r="G76" s="132"/>
      <c r="H76" s="132"/>
      <c r="I76" s="132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  <c r="AH76" s="130"/>
      <c r="AI76" s="130"/>
      <c r="AJ76" s="130"/>
      <c r="AK76" s="130"/>
      <c r="AL76" s="130"/>
      <c r="AM76" s="130"/>
      <c r="AN76" s="130"/>
      <c r="AO76" s="130"/>
      <c r="AP76" s="130"/>
      <c r="AQ76" s="130"/>
      <c r="AR76" s="130"/>
      <c r="AS76" s="130"/>
      <c r="AT76" s="130"/>
      <c r="AU76" s="130"/>
      <c r="AV76" s="130"/>
      <c r="AW76" s="130"/>
      <c r="AX76" s="130"/>
      <c r="AY76" s="130"/>
      <c r="AZ76" s="130"/>
      <c r="BA76" s="130"/>
      <c r="BB76" s="130"/>
      <c r="BC76" s="130"/>
      <c r="BD76" s="130"/>
      <c r="BE76" s="130"/>
      <c r="BF76" s="130"/>
      <c r="BG76" s="130"/>
      <c r="BH76" s="130"/>
      <c r="BI76" s="130"/>
      <c r="BJ76" s="130"/>
      <c r="BK76" s="130"/>
      <c r="BL76" s="130"/>
      <c r="BM76" s="130"/>
      <c r="BN76" s="130"/>
      <c r="BO76" s="130"/>
      <c r="BP76" s="130"/>
      <c r="BQ76" s="130"/>
      <c r="BR76" s="130"/>
      <c r="BS76" s="130"/>
      <c r="BT76" s="130"/>
      <c r="BU76" s="130"/>
      <c r="BV76" s="130"/>
      <c r="BW76" s="130"/>
      <c r="BX76" s="130"/>
      <c r="BY76" s="130"/>
      <c r="BZ76" s="130"/>
      <c r="CA76" s="130"/>
      <c r="CB76" s="130"/>
      <c r="CC76" s="130"/>
      <c r="CD76" s="130"/>
      <c r="CE76" s="130"/>
      <c r="CF76" s="130"/>
      <c r="CG76" s="130"/>
      <c r="CH76" s="130"/>
      <c r="CI76" s="130"/>
      <c r="CJ76" s="130"/>
      <c r="CK76" s="130"/>
    </row>
    <row r="77" spans="1:89" ht="12.75" customHeight="1" x14ac:dyDescent="0.2">
      <c r="A77" s="131"/>
      <c r="B77" s="132"/>
      <c r="C77" s="132"/>
      <c r="D77" s="132"/>
      <c r="E77" s="132"/>
      <c r="F77" s="132"/>
      <c r="G77" s="132"/>
      <c r="H77" s="132"/>
      <c r="I77" s="132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  <c r="AK77" s="130"/>
      <c r="AL77" s="130"/>
      <c r="AM77" s="130"/>
      <c r="AN77" s="130"/>
      <c r="AO77" s="130"/>
      <c r="AP77" s="130"/>
      <c r="AQ77" s="130"/>
      <c r="AR77" s="130"/>
      <c r="AS77" s="130"/>
      <c r="AT77" s="130"/>
      <c r="AU77" s="130"/>
      <c r="AV77" s="130"/>
      <c r="AW77" s="130"/>
      <c r="AX77" s="130"/>
      <c r="AY77" s="130"/>
      <c r="AZ77" s="130"/>
      <c r="BA77" s="130"/>
      <c r="BB77" s="130"/>
      <c r="BC77" s="130"/>
      <c r="BD77" s="130"/>
      <c r="BE77" s="130"/>
      <c r="BF77" s="130"/>
      <c r="BG77" s="130"/>
      <c r="BH77" s="130"/>
      <c r="BI77" s="130"/>
      <c r="BJ77" s="130"/>
      <c r="BK77" s="130"/>
      <c r="BL77" s="130"/>
      <c r="BM77" s="130"/>
      <c r="BN77" s="130"/>
      <c r="BO77" s="130"/>
      <c r="BP77" s="130"/>
      <c r="BQ77" s="130"/>
      <c r="BR77" s="130"/>
      <c r="BS77" s="130"/>
      <c r="BT77" s="130"/>
      <c r="BU77" s="130"/>
      <c r="BV77" s="130"/>
      <c r="BW77" s="130"/>
      <c r="BX77" s="130"/>
      <c r="BY77" s="130"/>
      <c r="BZ77" s="130"/>
      <c r="CA77" s="130"/>
      <c r="CB77" s="130"/>
      <c r="CC77" s="130"/>
      <c r="CD77" s="130"/>
      <c r="CE77" s="130"/>
      <c r="CF77" s="130"/>
      <c r="CG77" s="130"/>
      <c r="CH77" s="130"/>
      <c r="CI77" s="130"/>
      <c r="CJ77" s="130"/>
      <c r="CK77" s="130"/>
    </row>
    <row r="78" spans="1:89" ht="12.75" customHeight="1" x14ac:dyDescent="0.2">
      <c r="A78" s="131"/>
      <c r="B78" s="132"/>
      <c r="C78" s="132"/>
      <c r="D78" s="132"/>
      <c r="E78" s="132"/>
      <c r="F78" s="132"/>
      <c r="G78" s="132"/>
      <c r="H78" s="132"/>
      <c r="I78" s="132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  <c r="AG78" s="130"/>
      <c r="AH78" s="130"/>
      <c r="AI78" s="130"/>
      <c r="AJ78" s="130"/>
      <c r="AK78" s="130"/>
      <c r="AL78" s="130"/>
      <c r="AM78" s="130"/>
      <c r="AN78" s="130"/>
      <c r="AO78" s="130"/>
      <c r="AP78" s="130"/>
      <c r="AQ78" s="130"/>
      <c r="AR78" s="130"/>
      <c r="AS78" s="130"/>
      <c r="AT78" s="130"/>
      <c r="AU78" s="130"/>
      <c r="AV78" s="130"/>
      <c r="AW78" s="130"/>
      <c r="AX78" s="130"/>
      <c r="AY78" s="130"/>
      <c r="AZ78" s="130"/>
      <c r="BA78" s="130"/>
      <c r="BB78" s="130"/>
      <c r="BC78" s="130"/>
      <c r="BD78" s="130"/>
      <c r="BE78" s="130"/>
      <c r="BF78" s="130"/>
      <c r="BG78" s="130"/>
      <c r="BH78" s="130"/>
      <c r="BI78" s="130"/>
      <c r="BJ78" s="130"/>
      <c r="BK78" s="130"/>
      <c r="BL78" s="130"/>
      <c r="BM78" s="130"/>
      <c r="BN78" s="130"/>
      <c r="BO78" s="130"/>
      <c r="BP78" s="130"/>
      <c r="BQ78" s="130"/>
      <c r="BR78" s="130"/>
      <c r="BS78" s="130"/>
      <c r="BT78" s="130"/>
      <c r="BU78" s="130"/>
      <c r="BV78" s="130"/>
      <c r="BW78" s="130"/>
      <c r="BX78" s="130"/>
      <c r="BY78" s="130"/>
      <c r="BZ78" s="130"/>
      <c r="CA78" s="130"/>
      <c r="CB78" s="130"/>
      <c r="CC78" s="130"/>
      <c r="CD78" s="130"/>
      <c r="CE78" s="130"/>
      <c r="CF78" s="130"/>
      <c r="CG78" s="130"/>
      <c r="CH78" s="130"/>
      <c r="CI78" s="130"/>
      <c r="CJ78" s="130"/>
      <c r="CK78" s="130"/>
    </row>
    <row r="79" spans="1:89" ht="12.75" customHeight="1" x14ac:dyDescent="0.2">
      <c r="A79" s="131"/>
      <c r="B79" s="132"/>
      <c r="C79" s="132"/>
      <c r="D79" s="132"/>
      <c r="E79" s="132"/>
      <c r="F79" s="132"/>
      <c r="G79" s="132"/>
      <c r="H79" s="132"/>
      <c r="I79" s="132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  <c r="AG79" s="130"/>
      <c r="AH79" s="130"/>
      <c r="AI79" s="130"/>
      <c r="AJ79" s="130"/>
      <c r="AK79" s="130"/>
      <c r="AL79" s="130"/>
      <c r="AM79" s="130"/>
      <c r="AN79" s="130"/>
      <c r="AO79" s="130"/>
      <c r="AP79" s="130"/>
      <c r="AQ79" s="130"/>
      <c r="AR79" s="130"/>
      <c r="AS79" s="130"/>
      <c r="AT79" s="130"/>
      <c r="AU79" s="130"/>
      <c r="AV79" s="130"/>
      <c r="AW79" s="130"/>
      <c r="AX79" s="130"/>
      <c r="AY79" s="130"/>
      <c r="AZ79" s="130"/>
      <c r="BA79" s="130"/>
      <c r="BB79" s="130"/>
      <c r="BC79" s="130"/>
      <c r="BD79" s="130"/>
      <c r="BE79" s="130"/>
      <c r="BF79" s="130"/>
      <c r="BG79" s="130"/>
      <c r="BH79" s="130"/>
      <c r="BI79" s="130"/>
      <c r="BJ79" s="130"/>
      <c r="BK79" s="130"/>
      <c r="BL79" s="130"/>
      <c r="BM79" s="130"/>
      <c r="BN79" s="130"/>
      <c r="BO79" s="130"/>
      <c r="BP79" s="130"/>
      <c r="BQ79" s="130"/>
      <c r="BR79" s="130"/>
      <c r="BS79" s="130"/>
      <c r="BT79" s="130"/>
      <c r="BU79" s="130"/>
      <c r="BV79" s="130"/>
      <c r="BW79" s="130"/>
      <c r="BX79" s="130"/>
      <c r="BY79" s="130"/>
      <c r="BZ79" s="130"/>
      <c r="CA79" s="130"/>
      <c r="CB79" s="130"/>
      <c r="CC79" s="130"/>
      <c r="CD79" s="130"/>
      <c r="CE79" s="130"/>
      <c r="CF79" s="130"/>
      <c r="CG79" s="130"/>
      <c r="CH79" s="130"/>
      <c r="CI79" s="130"/>
      <c r="CJ79" s="130"/>
      <c r="CK79" s="130"/>
    </row>
    <row r="80" spans="1:89" ht="12.75" customHeight="1" x14ac:dyDescent="0.2">
      <c r="A80" s="131"/>
      <c r="B80" s="132"/>
      <c r="C80" s="132"/>
      <c r="D80" s="132"/>
      <c r="E80" s="132"/>
      <c r="F80" s="132"/>
      <c r="G80" s="132"/>
      <c r="H80" s="132"/>
      <c r="I80" s="132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0"/>
      <c r="AS80" s="130"/>
      <c r="AT80" s="130"/>
      <c r="AU80" s="130"/>
      <c r="AV80" s="130"/>
      <c r="AW80" s="130"/>
      <c r="AX80" s="130"/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  <c r="BN80" s="130"/>
      <c r="BO80" s="130"/>
      <c r="BP80" s="130"/>
      <c r="BQ80" s="130"/>
      <c r="BR80" s="130"/>
      <c r="BS80" s="130"/>
      <c r="BT80" s="130"/>
      <c r="BU80" s="130"/>
      <c r="BV80" s="130"/>
      <c r="BW80" s="130"/>
      <c r="BX80" s="130"/>
      <c r="BY80" s="130"/>
      <c r="BZ80" s="130"/>
      <c r="CA80" s="130"/>
      <c r="CB80" s="130"/>
      <c r="CC80" s="130"/>
      <c r="CD80" s="130"/>
      <c r="CE80" s="130"/>
      <c r="CF80" s="130"/>
      <c r="CG80" s="130"/>
      <c r="CH80" s="130"/>
      <c r="CI80" s="130"/>
      <c r="CJ80" s="130"/>
      <c r="CK80" s="130"/>
    </row>
    <row r="81" spans="1:89" ht="12.75" customHeight="1" x14ac:dyDescent="0.2">
      <c r="A81" s="131"/>
      <c r="B81" s="132"/>
      <c r="C81" s="132"/>
      <c r="D81" s="132"/>
      <c r="E81" s="132"/>
      <c r="F81" s="132"/>
      <c r="G81" s="132"/>
      <c r="H81" s="132"/>
      <c r="I81" s="132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  <c r="AT81" s="130"/>
      <c r="AU81" s="130"/>
      <c r="AV81" s="130"/>
      <c r="AW81" s="130"/>
      <c r="AX81" s="130"/>
      <c r="AY81" s="130"/>
      <c r="AZ81" s="130"/>
      <c r="BA81" s="130"/>
      <c r="BB81" s="130"/>
      <c r="BC81" s="130"/>
      <c r="BD81" s="130"/>
      <c r="BE81" s="130"/>
      <c r="BF81" s="130"/>
      <c r="BG81" s="130"/>
      <c r="BH81" s="130"/>
      <c r="BI81" s="130"/>
      <c r="BJ81" s="130"/>
      <c r="BK81" s="130"/>
      <c r="BL81" s="130"/>
      <c r="BM81" s="130"/>
      <c r="BN81" s="130"/>
      <c r="BO81" s="130"/>
      <c r="BP81" s="130"/>
      <c r="BQ81" s="130"/>
      <c r="BR81" s="130"/>
      <c r="BS81" s="130"/>
      <c r="BT81" s="130"/>
      <c r="BU81" s="130"/>
      <c r="BV81" s="130"/>
      <c r="BW81" s="130"/>
      <c r="BX81" s="130"/>
      <c r="BY81" s="130"/>
      <c r="BZ81" s="130"/>
      <c r="CA81" s="130"/>
      <c r="CB81" s="130"/>
      <c r="CC81" s="130"/>
      <c r="CD81" s="130"/>
      <c r="CE81" s="130"/>
      <c r="CF81" s="130"/>
      <c r="CG81" s="130"/>
      <c r="CH81" s="130"/>
      <c r="CI81" s="130"/>
      <c r="CJ81" s="130"/>
      <c r="CK81" s="130"/>
    </row>
    <row r="82" spans="1:89" ht="12.75" customHeight="1" x14ac:dyDescent="0.2">
      <c r="A82" s="131"/>
      <c r="B82" s="132"/>
      <c r="C82" s="132"/>
      <c r="D82" s="132"/>
      <c r="E82" s="132"/>
      <c r="F82" s="132"/>
      <c r="G82" s="132"/>
      <c r="H82" s="132"/>
      <c r="I82" s="132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  <c r="AT82" s="130"/>
      <c r="AU82" s="130"/>
      <c r="AV82" s="130"/>
      <c r="AW82" s="130"/>
      <c r="AX82" s="130"/>
      <c r="AY82" s="130"/>
      <c r="AZ82" s="130"/>
      <c r="BA82" s="130"/>
      <c r="BB82" s="130"/>
      <c r="BC82" s="130"/>
      <c r="BD82" s="130"/>
      <c r="BE82" s="130"/>
      <c r="BF82" s="130"/>
      <c r="BG82" s="130"/>
      <c r="BH82" s="130"/>
      <c r="BI82" s="130"/>
      <c r="BJ82" s="130"/>
      <c r="BK82" s="130"/>
      <c r="BL82" s="130"/>
      <c r="BM82" s="130"/>
      <c r="BN82" s="130"/>
      <c r="BO82" s="130"/>
      <c r="BP82" s="130"/>
      <c r="BQ82" s="130"/>
      <c r="BR82" s="130"/>
      <c r="BS82" s="130"/>
      <c r="BT82" s="130"/>
      <c r="BU82" s="130"/>
      <c r="BV82" s="130"/>
      <c r="BW82" s="130"/>
      <c r="BX82" s="130"/>
      <c r="BY82" s="130"/>
      <c r="BZ82" s="130"/>
      <c r="CA82" s="130"/>
      <c r="CB82" s="130"/>
      <c r="CC82" s="130"/>
      <c r="CD82" s="130"/>
      <c r="CE82" s="130"/>
      <c r="CF82" s="130"/>
      <c r="CG82" s="130"/>
      <c r="CH82" s="130"/>
      <c r="CI82" s="130"/>
      <c r="CJ82" s="130"/>
      <c r="CK82" s="130"/>
    </row>
    <row r="83" spans="1:89" ht="12.75" customHeight="1" x14ac:dyDescent="0.2">
      <c r="A83" s="131"/>
      <c r="B83" s="132"/>
      <c r="C83" s="132"/>
      <c r="D83" s="132"/>
      <c r="E83" s="132"/>
      <c r="F83" s="132"/>
      <c r="G83" s="132"/>
      <c r="H83" s="132"/>
      <c r="I83" s="132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  <c r="AL83" s="130"/>
      <c r="AM83" s="130"/>
      <c r="AN83" s="130"/>
      <c r="AO83" s="130"/>
      <c r="AP83" s="130"/>
      <c r="AQ83" s="130"/>
      <c r="AR83" s="130"/>
      <c r="AS83" s="130"/>
      <c r="AT83" s="130"/>
      <c r="AU83" s="130"/>
      <c r="AV83" s="130"/>
      <c r="AW83" s="130"/>
      <c r="AX83" s="130"/>
      <c r="AY83" s="130"/>
      <c r="AZ83" s="130"/>
      <c r="BA83" s="130"/>
      <c r="BB83" s="130"/>
      <c r="BC83" s="130"/>
      <c r="BD83" s="130"/>
      <c r="BE83" s="130"/>
      <c r="BF83" s="130"/>
      <c r="BG83" s="130"/>
      <c r="BH83" s="130"/>
      <c r="BI83" s="130"/>
      <c r="BJ83" s="130"/>
      <c r="BK83" s="130"/>
      <c r="BL83" s="130"/>
      <c r="BM83" s="130"/>
      <c r="BN83" s="130"/>
      <c r="BO83" s="130"/>
      <c r="BP83" s="130"/>
      <c r="BQ83" s="130"/>
      <c r="BR83" s="130"/>
      <c r="BS83" s="130"/>
      <c r="BT83" s="130"/>
      <c r="BU83" s="130"/>
      <c r="BV83" s="130"/>
      <c r="BW83" s="130"/>
      <c r="BX83" s="130"/>
      <c r="BY83" s="130"/>
      <c r="BZ83" s="130"/>
      <c r="CA83" s="130"/>
      <c r="CB83" s="130"/>
      <c r="CC83" s="130"/>
      <c r="CD83" s="130"/>
      <c r="CE83" s="130"/>
      <c r="CF83" s="130"/>
      <c r="CG83" s="130"/>
      <c r="CH83" s="130"/>
      <c r="CI83" s="130"/>
      <c r="CJ83" s="130"/>
      <c r="CK83" s="130"/>
    </row>
    <row r="84" spans="1:89" ht="12.75" customHeight="1" x14ac:dyDescent="0.2">
      <c r="A84" s="131"/>
      <c r="B84" s="132"/>
      <c r="C84" s="132"/>
      <c r="D84" s="132"/>
      <c r="E84" s="132"/>
      <c r="F84" s="132"/>
      <c r="G84" s="132"/>
      <c r="H84" s="132"/>
      <c r="I84" s="132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  <c r="AK84" s="130"/>
      <c r="AL84" s="130"/>
      <c r="AM84" s="130"/>
      <c r="AN84" s="130"/>
      <c r="AO84" s="130"/>
      <c r="AP84" s="130"/>
      <c r="AQ84" s="130"/>
      <c r="AR84" s="130"/>
      <c r="AS84" s="130"/>
      <c r="AT84" s="130"/>
      <c r="AU84" s="130"/>
      <c r="AV84" s="130"/>
      <c r="AW84" s="130"/>
      <c r="AX84" s="130"/>
      <c r="AY84" s="130"/>
      <c r="AZ84" s="130"/>
      <c r="BA84" s="130"/>
      <c r="BB84" s="130"/>
      <c r="BC84" s="130"/>
      <c r="BD84" s="130"/>
      <c r="BE84" s="130"/>
      <c r="BF84" s="130"/>
      <c r="BG84" s="130"/>
      <c r="BH84" s="130"/>
      <c r="BI84" s="130"/>
      <c r="BJ84" s="130"/>
      <c r="BK84" s="130"/>
      <c r="BL84" s="130"/>
      <c r="BM84" s="130"/>
      <c r="BN84" s="130"/>
      <c r="BO84" s="130"/>
      <c r="BP84" s="130"/>
      <c r="BQ84" s="130"/>
      <c r="BR84" s="130"/>
      <c r="BS84" s="130"/>
      <c r="BT84" s="130"/>
      <c r="BU84" s="130"/>
      <c r="BV84" s="130"/>
      <c r="BW84" s="130"/>
      <c r="BX84" s="130"/>
      <c r="BY84" s="130"/>
      <c r="BZ84" s="130"/>
      <c r="CA84" s="130"/>
      <c r="CB84" s="130"/>
      <c r="CC84" s="130"/>
      <c r="CD84" s="130"/>
      <c r="CE84" s="130"/>
      <c r="CF84" s="130"/>
      <c r="CG84" s="130"/>
      <c r="CH84" s="130"/>
      <c r="CI84" s="130"/>
      <c r="CJ84" s="130"/>
      <c r="CK84" s="130"/>
    </row>
    <row r="85" spans="1:89" ht="12.75" customHeight="1" x14ac:dyDescent="0.2">
      <c r="A85" s="131"/>
      <c r="B85" s="132"/>
      <c r="C85" s="132"/>
      <c r="D85" s="132"/>
      <c r="E85" s="132"/>
      <c r="F85" s="132"/>
      <c r="G85" s="132"/>
      <c r="H85" s="132"/>
      <c r="I85" s="132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30"/>
      <c r="AK85" s="130"/>
      <c r="AL85" s="130"/>
      <c r="AM85" s="130"/>
      <c r="AN85" s="130"/>
      <c r="AO85" s="130"/>
      <c r="AP85" s="130"/>
      <c r="AQ85" s="130"/>
      <c r="AR85" s="130"/>
      <c r="AS85" s="130"/>
      <c r="AT85" s="130"/>
      <c r="AU85" s="130"/>
      <c r="AV85" s="130"/>
      <c r="AW85" s="130"/>
      <c r="AX85" s="130"/>
      <c r="AY85" s="130"/>
      <c r="AZ85" s="130"/>
      <c r="BA85" s="130"/>
      <c r="BB85" s="130"/>
      <c r="BC85" s="130"/>
      <c r="BD85" s="130"/>
      <c r="BE85" s="130"/>
      <c r="BF85" s="130"/>
      <c r="BG85" s="130"/>
      <c r="BH85" s="130"/>
      <c r="BI85" s="130"/>
      <c r="BJ85" s="130"/>
      <c r="BK85" s="130"/>
      <c r="BL85" s="130"/>
      <c r="BM85" s="130"/>
      <c r="BN85" s="130"/>
      <c r="BO85" s="130"/>
      <c r="BP85" s="130"/>
      <c r="BQ85" s="130"/>
      <c r="BR85" s="130"/>
      <c r="BS85" s="130"/>
      <c r="BT85" s="130"/>
      <c r="BU85" s="130"/>
      <c r="BV85" s="130"/>
      <c r="BW85" s="130"/>
      <c r="BX85" s="130"/>
      <c r="BY85" s="130"/>
      <c r="BZ85" s="130"/>
      <c r="CA85" s="130"/>
      <c r="CB85" s="130"/>
      <c r="CC85" s="130"/>
      <c r="CD85" s="130"/>
      <c r="CE85" s="130"/>
      <c r="CF85" s="130"/>
      <c r="CG85" s="130"/>
      <c r="CH85" s="130"/>
      <c r="CI85" s="130"/>
      <c r="CJ85" s="130"/>
      <c r="CK85" s="130"/>
    </row>
    <row r="86" spans="1:89" ht="12.75" customHeight="1" x14ac:dyDescent="0.2">
      <c r="A86" s="131"/>
      <c r="B86" s="132"/>
      <c r="C86" s="132"/>
      <c r="D86" s="132"/>
      <c r="E86" s="132"/>
      <c r="F86" s="132"/>
      <c r="G86" s="132"/>
      <c r="H86" s="132"/>
      <c r="I86" s="132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  <c r="AO86" s="130"/>
      <c r="AP86" s="130"/>
      <c r="AQ86" s="130"/>
      <c r="AR86" s="130"/>
      <c r="AS86" s="130"/>
      <c r="AT86" s="130"/>
      <c r="AU86" s="130"/>
      <c r="AV86" s="130"/>
      <c r="AW86" s="130"/>
      <c r="AX86" s="130"/>
      <c r="AY86" s="130"/>
      <c r="AZ86" s="130"/>
      <c r="BA86" s="130"/>
      <c r="BB86" s="130"/>
      <c r="BC86" s="130"/>
      <c r="BD86" s="130"/>
      <c r="BE86" s="130"/>
      <c r="BF86" s="130"/>
      <c r="BG86" s="130"/>
      <c r="BH86" s="130"/>
      <c r="BI86" s="130"/>
      <c r="BJ86" s="130"/>
      <c r="BK86" s="130"/>
      <c r="BL86" s="130"/>
      <c r="BM86" s="130"/>
      <c r="BN86" s="130"/>
      <c r="BO86" s="130"/>
      <c r="BP86" s="130"/>
      <c r="BQ86" s="130"/>
      <c r="BR86" s="130"/>
      <c r="BS86" s="130"/>
      <c r="BT86" s="130"/>
      <c r="BU86" s="130"/>
      <c r="BV86" s="130"/>
      <c r="BW86" s="130"/>
      <c r="BX86" s="130"/>
      <c r="BY86" s="130"/>
      <c r="BZ86" s="130"/>
      <c r="CA86" s="130"/>
      <c r="CB86" s="130"/>
      <c r="CC86" s="130"/>
      <c r="CD86" s="130"/>
      <c r="CE86" s="130"/>
      <c r="CF86" s="130"/>
      <c r="CG86" s="130"/>
      <c r="CH86" s="130"/>
      <c r="CI86" s="130"/>
      <c r="CJ86" s="130"/>
      <c r="CK86" s="130"/>
    </row>
    <row r="87" spans="1:89" ht="12.75" customHeight="1" x14ac:dyDescent="0.2">
      <c r="A87" s="131"/>
      <c r="B87" s="132"/>
      <c r="C87" s="132"/>
      <c r="D87" s="132"/>
      <c r="E87" s="132"/>
      <c r="F87" s="132"/>
      <c r="G87" s="132"/>
      <c r="H87" s="132"/>
      <c r="I87" s="132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  <c r="AO87" s="130"/>
      <c r="AP87" s="130"/>
      <c r="AQ87" s="130"/>
      <c r="AR87" s="130"/>
      <c r="AS87" s="130"/>
      <c r="AT87" s="130"/>
      <c r="AU87" s="130"/>
      <c r="AV87" s="130"/>
      <c r="AW87" s="130"/>
      <c r="AX87" s="130"/>
      <c r="AY87" s="130"/>
      <c r="AZ87" s="130"/>
      <c r="BA87" s="130"/>
      <c r="BB87" s="130"/>
      <c r="BC87" s="130"/>
      <c r="BD87" s="130"/>
      <c r="BE87" s="130"/>
      <c r="BF87" s="130"/>
      <c r="BG87" s="130"/>
      <c r="BH87" s="130"/>
      <c r="BI87" s="130"/>
      <c r="BJ87" s="130"/>
      <c r="BK87" s="130"/>
      <c r="BL87" s="130"/>
      <c r="BM87" s="130"/>
      <c r="BN87" s="130"/>
      <c r="BO87" s="130"/>
      <c r="BP87" s="130"/>
      <c r="BQ87" s="130"/>
      <c r="BR87" s="130"/>
      <c r="BS87" s="130"/>
      <c r="BT87" s="130"/>
      <c r="BU87" s="130"/>
      <c r="BV87" s="130"/>
      <c r="BW87" s="130"/>
      <c r="BX87" s="130"/>
      <c r="BY87" s="130"/>
      <c r="BZ87" s="130"/>
      <c r="CA87" s="130"/>
      <c r="CB87" s="130"/>
      <c r="CC87" s="130"/>
      <c r="CD87" s="130"/>
      <c r="CE87" s="130"/>
      <c r="CF87" s="130"/>
      <c r="CG87" s="130"/>
      <c r="CH87" s="130"/>
      <c r="CI87" s="130"/>
      <c r="CJ87" s="130"/>
      <c r="CK87" s="130"/>
    </row>
    <row r="88" spans="1:89" ht="12.75" customHeight="1" x14ac:dyDescent="0.2">
      <c r="A88" s="131"/>
      <c r="B88" s="132"/>
      <c r="C88" s="132"/>
      <c r="D88" s="132"/>
      <c r="E88" s="132"/>
      <c r="F88" s="132"/>
      <c r="G88" s="132"/>
      <c r="H88" s="132"/>
      <c r="I88" s="132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  <c r="AK88" s="130"/>
      <c r="AL88" s="130"/>
      <c r="AM88" s="130"/>
      <c r="AN88" s="130"/>
      <c r="AO88" s="130"/>
      <c r="AP88" s="130"/>
      <c r="AQ88" s="130"/>
      <c r="AR88" s="130"/>
      <c r="AS88" s="130"/>
      <c r="AT88" s="130"/>
      <c r="AU88" s="130"/>
      <c r="AV88" s="130"/>
      <c r="AW88" s="130"/>
      <c r="AX88" s="130"/>
      <c r="AY88" s="130"/>
      <c r="AZ88" s="130"/>
      <c r="BA88" s="130"/>
      <c r="BB88" s="130"/>
      <c r="BC88" s="130"/>
      <c r="BD88" s="130"/>
      <c r="BE88" s="130"/>
      <c r="BF88" s="130"/>
      <c r="BG88" s="130"/>
      <c r="BH88" s="130"/>
      <c r="BI88" s="130"/>
      <c r="BJ88" s="130"/>
      <c r="BK88" s="130"/>
      <c r="BL88" s="130"/>
      <c r="BM88" s="130"/>
      <c r="BN88" s="130"/>
      <c r="BO88" s="130"/>
      <c r="BP88" s="130"/>
      <c r="BQ88" s="130"/>
      <c r="BR88" s="130"/>
      <c r="BS88" s="130"/>
      <c r="BT88" s="130"/>
      <c r="BU88" s="130"/>
      <c r="BV88" s="130"/>
      <c r="BW88" s="130"/>
      <c r="BX88" s="130"/>
      <c r="BY88" s="130"/>
      <c r="BZ88" s="130"/>
      <c r="CA88" s="130"/>
      <c r="CB88" s="130"/>
      <c r="CC88" s="130"/>
      <c r="CD88" s="130"/>
      <c r="CE88" s="130"/>
      <c r="CF88" s="130"/>
      <c r="CG88" s="130"/>
      <c r="CH88" s="130"/>
      <c r="CI88" s="130"/>
      <c r="CJ88" s="130"/>
      <c r="CK88" s="130"/>
    </row>
    <row r="89" spans="1:89" ht="12.75" customHeight="1" x14ac:dyDescent="0.2">
      <c r="A89" s="131"/>
      <c r="B89" s="132"/>
      <c r="C89" s="132"/>
      <c r="D89" s="132"/>
      <c r="E89" s="132"/>
      <c r="F89" s="132"/>
      <c r="G89" s="132"/>
      <c r="H89" s="132"/>
      <c r="I89" s="132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  <c r="AG89" s="130"/>
      <c r="AH89" s="130"/>
      <c r="AI89" s="130"/>
      <c r="AJ89" s="130"/>
      <c r="AK89" s="130"/>
      <c r="AL89" s="130"/>
      <c r="AM89" s="130"/>
      <c r="AN89" s="130"/>
      <c r="AO89" s="130"/>
      <c r="AP89" s="130"/>
      <c r="AQ89" s="130"/>
      <c r="AR89" s="130"/>
      <c r="AS89" s="130"/>
      <c r="AT89" s="130"/>
      <c r="AU89" s="130"/>
      <c r="AV89" s="130"/>
      <c r="AW89" s="130"/>
      <c r="AX89" s="130"/>
      <c r="AY89" s="130"/>
      <c r="AZ89" s="130"/>
      <c r="BA89" s="130"/>
      <c r="BB89" s="130"/>
      <c r="BC89" s="130"/>
      <c r="BD89" s="130"/>
      <c r="BE89" s="130"/>
      <c r="BF89" s="130"/>
      <c r="BG89" s="130"/>
      <c r="BH89" s="130"/>
      <c r="BI89" s="130"/>
      <c r="BJ89" s="130"/>
      <c r="BK89" s="130"/>
      <c r="BL89" s="130"/>
      <c r="BM89" s="130"/>
      <c r="BN89" s="130"/>
      <c r="BO89" s="130"/>
      <c r="BP89" s="130"/>
      <c r="BQ89" s="130"/>
      <c r="BR89" s="130"/>
      <c r="BS89" s="130"/>
      <c r="BT89" s="130"/>
      <c r="BU89" s="130"/>
      <c r="BV89" s="130"/>
      <c r="BW89" s="130"/>
      <c r="BX89" s="130"/>
      <c r="BY89" s="130"/>
      <c r="BZ89" s="130"/>
      <c r="CA89" s="130"/>
      <c r="CB89" s="130"/>
      <c r="CC89" s="130"/>
      <c r="CD89" s="130"/>
      <c r="CE89" s="130"/>
      <c r="CF89" s="130"/>
      <c r="CG89" s="130"/>
      <c r="CH89" s="130"/>
      <c r="CI89" s="130"/>
      <c r="CJ89" s="130"/>
      <c r="CK89" s="130"/>
    </row>
    <row r="90" spans="1:89" ht="12.75" customHeight="1" x14ac:dyDescent="0.2">
      <c r="A90" s="131"/>
      <c r="B90" s="132"/>
      <c r="C90" s="132"/>
      <c r="D90" s="132"/>
      <c r="E90" s="132"/>
      <c r="F90" s="132"/>
      <c r="G90" s="132"/>
      <c r="H90" s="132"/>
      <c r="I90" s="132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  <c r="AG90" s="130"/>
      <c r="AH90" s="130"/>
      <c r="AI90" s="130"/>
      <c r="AJ90" s="130"/>
      <c r="AK90" s="130"/>
      <c r="AL90" s="130"/>
      <c r="AM90" s="130"/>
      <c r="AN90" s="130"/>
      <c r="AO90" s="130"/>
      <c r="AP90" s="130"/>
      <c r="AQ90" s="130"/>
      <c r="AR90" s="130"/>
      <c r="AS90" s="130"/>
      <c r="AT90" s="130"/>
      <c r="AU90" s="130"/>
      <c r="AV90" s="130"/>
      <c r="AW90" s="130"/>
      <c r="AX90" s="130"/>
      <c r="AY90" s="130"/>
      <c r="AZ90" s="130"/>
      <c r="BA90" s="130"/>
      <c r="BB90" s="130"/>
      <c r="BC90" s="130"/>
      <c r="BD90" s="130"/>
      <c r="BE90" s="130"/>
      <c r="BF90" s="130"/>
      <c r="BG90" s="130"/>
      <c r="BH90" s="130"/>
      <c r="BI90" s="130"/>
      <c r="BJ90" s="130"/>
      <c r="BK90" s="130"/>
      <c r="BL90" s="130"/>
      <c r="BM90" s="130"/>
      <c r="BN90" s="130"/>
      <c r="BO90" s="130"/>
      <c r="BP90" s="130"/>
      <c r="BQ90" s="130"/>
      <c r="BR90" s="130"/>
      <c r="BS90" s="130"/>
      <c r="BT90" s="130"/>
      <c r="BU90" s="130"/>
      <c r="BV90" s="130"/>
      <c r="BW90" s="130"/>
      <c r="BX90" s="130"/>
      <c r="BY90" s="130"/>
      <c r="BZ90" s="130"/>
      <c r="CA90" s="130"/>
      <c r="CB90" s="130"/>
      <c r="CC90" s="130"/>
      <c r="CD90" s="130"/>
      <c r="CE90" s="130"/>
      <c r="CF90" s="130"/>
      <c r="CG90" s="130"/>
      <c r="CH90" s="130"/>
      <c r="CI90" s="130"/>
      <c r="CJ90" s="130"/>
      <c r="CK90" s="130"/>
    </row>
    <row r="91" spans="1:89" ht="12.75" customHeight="1" x14ac:dyDescent="0.2">
      <c r="A91" s="131"/>
      <c r="B91" s="132"/>
      <c r="C91" s="132"/>
      <c r="D91" s="132"/>
      <c r="E91" s="132"/>
      <c r="F91" s="132"/>
      <c r="G91" s="132"/>
      <c r="H91" s="132"/>
      <c r="I91" s="132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30"/>
      <c r="AI91" s="130"/>
      <c r="AJ91" s="130"/>
      <c r="AK91" s="130"/>
      <c r="AL91" s="130"/>
      <c r="AM91" s="130"/>
      <c r="AN91" s="130"/>
      <c r="AO91" s="130"/>
      <c r="AP91" s="130"/>
      <c r="AQ91" s="130"/>
      <c r="AR91" s="130"/>
      <c r="AS91" s="130"/>
      <c r="AT91" s="130"/>
      <c r="AU91" s="130"/>
      <c r="AV91" s="130"/>
      <c r="AW91" s="130"/>
      <c r="AX91" s="130"/>
      <c r="AY91" s="130"/>
      <c r="AZ91" s="130"/>
      <c r="BA91" s="130"/>
      <c r="BB91" s="130"/>
      <c r="BC91" s="130"/>
      <c r="BD91" s="130"/>
      <c r="BE91" s="130"/>
      <c r="BF91" s="130"/>
      <c r="BG91" s="130"/>
      <c r="BH91" s="130"/>
      <c r="BI91" s="130"/>
      <c r="BJ91" s="130"/>
      <c r="BK91" s="130"/>
      <c r="BL91" s="130"/>
      <c r="BM91" s="130"/>
      <c r="BN91" s="130"/>
      <c r="BO91" s="130"/>
      <c r="BP91" s="130"/>
      <c r="BQ91" s="130"/>
      <c r="BR91" s="130"/>
      <c r="BS91" s="130"/>
      <c r="BT91" s="130"/>
      <c r="BU91" s="130"/>
      <c r="BV91" s="130"/>
      <c r="BW91" s="130"/>
      <c r="BX91" s="130"/>
      <c r="BY91" s="130"/>
      <c r="BZ91" s="130"/>
      <c r="CA91" s="130"/>
      <c r="CB91" s="130"/>
      <c r="CC91" s="130"/>
      <c r="CD91" s="130"/>
      <c r="CE91" s="130"/>
      <c r="CF91" s="130"/>
      <c r="CG91" s="130"/>
      <c r="CH91" s="130"/>
      <c r="CI91" s="130"/>
      <c r="CJ91" s="130"/>
      <c r="CK91" s="130"/>
    </row>
  </sheetData>
  <printOptions horizontalCentered="1"/>
  <pageMargins left="0.72986111111111096" right="0.65972222222222199" top="1.8798611111111101" bottom="0.80972222222222201" header="1.22013888888889" footer="0.511811023622047"/>
  <pageSetup paperSize="9" scale="92" orientation="landscape" horizontalDpi="300" verticalDpi="300"/>
  <headerFooter>
    <oddHeader>&amp;C- GLİ, 2022 -_x005F_x000a_KAZA TÜRLERİNİN KAZALANAN İŞÇİLERİN SANATLARINA GÖRE DAĞILIMI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39"/>
  <sheetViews>
    <sheetView zoomScale="75" zoomScaleNormal="7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T113" sqref="T113"/>
    </sheetView>
  </sheetViews>
  <sheetFormatPr baseColWidth="10" defaultColWidth="9" defaultRowHeight="13" x14ac:dyDescent="0.15"/>
  <cols>
    <col min="1" max="1" width="25" customWidth="1"/>
    <col min="2" max="2" width="8" style="3" customWidth="1"/>
    <col min="3" max="8" width="8" customWidth="1"/>
    <col min="9" max="9" width="8" style="3" customWidth="1"/>
    <col min="10" max="14" width="8" customWidth="1"/>
    <col min="15" max="15" width="8" style="3" customWidth="1"/>
    <col min="16" max="34" width="8" customWidth="1"/>
    <col min="35" max="38" width="10" customWidth="1"/>
  </cols>
  <sheetData>
    <row r="1" spans="1:44" ht="12.75" customHeight="1" x14ac:dyDescent="0.1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</row>
    <row r="2" spans="1:44" ht="12.75" customHeight="1" x14ac:dyDescent="0.15">
      <c r="A2" s="5" t="s">
        <v>648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14"/>
      <c r="AJ2" s="14"/>
      <c r="AK2" s="14"/>
      <c r="AL2" s="14"/>
      <c r="AM2" s="14"/>
      <c r="AN2" s="14"/>
      <c r="AO2" s="14"/>
      <c r="AP2" s="14"/>
      <c r="AQ2" s="14"/>
      <c r="AR2" s="14"/>
    </row>
    <row r="3" spans="1:44" ht="25.5" customHeight="1" x14ac:dyDescent="0.15">
      <c r="A3" s="5" t="s">
        <v>649</v>
      </c>
      <c r="B3" s="5" t="s">
        <v>858</v>
      </c>
      <c r="C3" s="5" t="s">
        <v>859</v>
      </c>
      <c r="D3" s="5" t="s">
        <v>860</v>
      </c>
      <c r="E3" s="5" t="s">
        <v>861</v>
      </c>
      <c r="F3" s="5" t="s">
        <v>862</v>
      </c>
      <c r="G3" s="5" t="s">
        <v>863</v>
      </c>
      <c r="H3" s="5" t="s">
        <v>864</v>
      </c>
      <c r="I3" s="5" t="s">
        <v>865</v>
      </c>
      <c r="J3" s="5" t="s">
        <v>866</v>
      </c>
      <c r="K3" s="5" t="s">
        <v>867</v>
      </c>
      <c r="L3" s="5" t="s">
        <v>868</v>
      </c>
      <c r="M3" s="5" t="s">
        <v>869</v>
      </c>
      <c r="N3" s="5" t="s">
        <v>870</v>
      </c>
      <c r="O3" s="5" t="s">
        <v>871</v>
      </c>
      <c r="P3" s="5" t="s">
        <v>872</v>
      </c>
      <c r="Q3" s="5" t="s">
        <v>873</v>
      </c>
      <c r="R3" s="5" t="s">
        <v>874</v>
      </c>
      <c r="S3" s="5" t="s">
        <v>875</v>
      </c>
      <c r="T3" s="5" t="s">
        <v>876</v>
      </c>
      <c r="U3" s="5" t="s">
        <v>877</v>
      </c>
      <c r="V3" s="5" t="s">
        <v>878</v>
      </c>
      <c r="W3" s="5" t="s">
        <v>872</v>
      </c>
      <c r="X3" s="5" t="s">
        <v>879</v>
      </c>
      <c r="Y3" s="5" t="s">
        <v>880</v>
      </c>
      <c r="Z3" s="5" t="s">
        <v>881</v>
      </c>
      <c r="AA3" s="5" t="s">
        <v>882</v>
      </c>
      <c r="AB3" s="5" t="s">
        <v>883</v>
      </c>
      <c r="AC3" s="5" t="s">
        <v>884</v>
      </c>
      <c r="AD3" s="5" t="s">
        <v>885</v>
      </c>
      <c r="AE3" s="5" t="s">
        <v>886</v>
      </c>
      <c r="AF3" s="5" t="s">
        <v>887</v>
      </c>
      <c r="AG3" s="5" t="s">
        <v>888</v>
      </c>
      <c r="AH3" s="5" t="s">
        <v>889</v>
      </c>
      <c r="AI3" s="5" t="s">
        <v>890</v>
      </c>
      <c r="AJ3" s="5" t="s">
        <v>46</v>
      </c>
      <c r="AK3" s="5" t="s">
        <v>891</v>
      </c>
      <c r="AL3" s="5" t="s">
        <v>519</v>
      </c>
      <c r="AM3" s="14"/>
      <c r="AN3" s="14"/>
      <c r="AO3" s="14"/>
      <c r="AP3" s="14"/>
      <c r="AQ3" s="14"/>
      <c r="AR3" s="14"/>
    </row>
    <row r="4" spans="1:44" ht="12.75" customHeight="1" x14ac:dyDescent="0.15">
      <c r="A4" s="59" t="s">
        <v>674</v>
      </c>
      <c r="B4" s="60">
        <f>COUNTIFS(veri!J:J,10,veri!I:I,"&gt;=100",veri!I:I,"&lt;200")</f>
        <v>0</v>
      </c>
      <c r="C4" s="60">
        <f>COUNTIFS(veri!J:J,11,veri!I:I,"&gt;=100",veri!I:I,"&lt;200")</f>
        <v>0</v>
      </c>
      <c r="D4" s="60">
        <f>COUNTIFS(veri!J:J,12,veri!I:I,"&gt;=100",veri!I:I,"&lt;200")</f>
        <v>0</v>
      </c>
      <c r="E4" s="60">
        <f>COUNTIFS(veri!J:J,13,veri!I:I,"&gt;=100",veri!I:I,"&lt;200")</f>
        <v>0</v>
      </c>
      <c r="F4" s="60">
        <f>COUNTIFS(veri!J:J,14,veri!I:I,"&gt;=100",veri!I:I,"&lt;200")</f>
        <v>0</v>
      </c>
      <c r="G4" s="60">
        <f>COUNTIFS(veri!J:J,15,veri!I:I,"&gt;=100",veri!I:I,"&lt;200")</f>
        <v>0</v>
      </c>
      <c r="H4" s="60">
        <f>COUNTIFS(veri!J:J,20,veri!I:I,"&gt;=100",veri!I:I,"&lt;200")</f>
        <v>0</v>
      </c>
      <c r="I4" s="60">
        <f>COUNTIFS(veri!J:J,30,veri!I:I,"&gt;=100",veri!I:I,"&lt;200")</f>
        <v>0</v>
      </c>
      <c r="J4" s="60">
        <f>COUNTIFS(veri!J:J,31,veri!I:I,"&gt;=100",veri!I:I,"&lt;200")</f>
        <v>0</v>
      </c>
      <c r="K4" s="60">
        <f>COUNTIFS(veri!J:J,32,veri!I:I,"&gt;=100",veri!I:I,"&lt;200")</f>
        <v>0</v>
      </c>
      <c r="L4" s="133">
        <f>COUNTIFS(veri!J:J,33,veri!I:I,"&gt;=100",veri!I:I,"&lt;200")</f>
        <v>0</v>
      </c>
      <c r="M4" s="60">
        <f>COUNTIFS(veri!J:J,34,veri!I:I,"&gt;=100",veri!I:I,"&lt;200")</f>
        <v>0</v>
      </c>
      <c r="N4" s="60">
        <f>COUNTIFS(veri!J:J,35,veri!I:I,"&gt;=100",veri!I:I,"&lt;200")</f>
        <v>0</v>
      </c>
      <c r="O4" s="60">
        <f>COUNTIFS(veri!J:J,36,veri!I:I,"&gt;=100",veri!I:I,"&lt;200")</f>
        <v>0</v>
      </c>
      <c r="P4" s="60">
        <f>COUNTIFS(veri!J:J,37,veri!I:I,"&gt;=100",veri!I:I,"&lt;200")</f>
        <v>0</v>
      </c>
      <c r="Q4" s="60">
        <f>COUNTIFS(veri!J:J,40,veri!I:I,"&gt;=100",veri!I:I,"&lt;200")</f>
        <v>0</v>
      </c>
      <c r="R4" s="60">
        <f>COUNTIFS(veri!J:J,41,veri!I:I,"&gt;=100",veri!I:I,"&lt;200")</f>
        <v>0</v>
      </c>
      <c r="S4" s="60">
        <f>COUNTIFS(veri!J:J,42,veri!I:I,"&gt;=100",veri!I:I,"&lt;200")</f>
        <v>0</v>
      </c>
      <c r="T4" s="60">
        <f>COUNTIFS(veri!J:J,43,veri!I:I,"&gt;=100",veri!I:I,"&lt;200")</f>
        <v>0</v>
      </c>
      <c r="U4" s="60">
        <f>COUNTIFS(veri!J:J,44,veri!I:I,"&gt;=100",veri!I:I,"&lt;200")</f>
        <v>0</v>
      </c>
      <c r="V4" s="60">
        <f>COUNTIFS(veri!J:J,45,veri!I:I,"&gt;=100",veri!I:I,"&lt;200")</f>
        <v>0</v>
      </c>
      <c r="W4" s="60">
        <f>COUNTIFS(veri!J:J,46,veri!I:I,"&gt;=100",veri!I:I,"&lt;200")</f>
        <v>0</v>
      </c>
      <c r="X4" s="60">
        <f>COUNTIFS(veri!J:J,50,veri!I:I,"&gt;=100",veri!I:I,"&lt;200")</f>
        <v>0</v>
      </c>
      <c r="Y4" s="60">
        <f>COUNTIFS(veri!J:J,51,veri!I:I,"&gt;=100",veri!I:I,"&lt;200")</f>
        <v>0</v>
      </c>
      <c r="Z4" s="60">
        <f>COUNTIFS(veri!J:J,52,veri!I:I,"&gt;=100",veri!I:I,"&lt;200")</f>
        <v>0</v>
      </c>
      <c r="AA4" s="60">
        <f>COUNTIFS(veri!J:J,53,veri!I:I,"&gt;=100",veri!I:I,"&lt;200")</f>
        <v>0</v>
      </c>
      <c r="AB4" s="60">
        <f>COUNTIFS(veri!J:J,54,veri!I:I,"&gt;=100",veri!I:I,"&lt;200")</f>
        <v>0</v>
      </c>
      <c r="AC4" s="60">
        <f>COUNTIFS(veri!J:J,55,veri!I:I,"&gt;=100",veri!I:I,"&lt;200")</f>
        <v>0</v>
      </c>
      <c r="AD4" s="60">
        <f>COUNTIFS(veri!J:J,60,veri!I:I,"&gt;=100",veri!I:I,"&lt;200")</f>
        <v>0</v>
      </c>
      <c r="AE4" s="60">
        <f>COUNTIFS(veri!J:J,70,veri!I:I,"&gt;=100",veri!I:I,"&lt;200")</f>
        <v>0</v>
      </c>
      <c r="AF4" s="60">
        <f>COUNTIFS(veri!J:J,80,veri!I:I,"&gt;=100",veri!I:I,"&lt;200")</f>
        <v>0</v>
      </c>
      <c r="AG4" s="60">
        <f>COUNTIFS(veri!J:J,90,veri!I:I,"&gt;=100",veri!I:I,"&lt;200")</f>
        <v>0</v>
      </c>
      <c r="AH4" s="60">
        <f>COUNTIFS(veri!J:J,99,veri!I:I,"&gt;=100",veri!I:I,"&lt;200")</f>
        <v>0</v>
      </c>
      <c r="AI4" s="60">
        <f t="shared" ref="AI4:AI22" si="0">SUM(B4:AH4)</f>
        <v>0</v>
      </c>
      <c r="AJ4" s="60">
        <f>COUNTIFS(veri!I:I,"&gt;=100",veri!I:I,"&lt;200",veri!K:K,"&gt;=6000")</f>
        <v>0</v>
      </c>
      <c r="AK4" s="60">
        <f t="shared" ref="AK4:AK22" si="1">AI4+AJ4</f>
        <v>0</v>
      </c>
      <c r="AL4" s="129">
        <f>IFERROR(AK4/AK24*100,0)</f>
        <v>0</v>
      </c>
      <c r="AM4" s="14"/>
      <c r="AN4" s="14"/>
      <c r="AO4" s="14"/>
      <c r="AP4" s="14"/>
      <c r="AQ4" s="14"/>
      <c r="AR4" s="14"/>
    </row>
    <row r="5" spans="1:44" ht="12.75" customHeight="1" x14ac:dyDescent="0.15">
      <c r="A5" s="134" t="s">
        <v>675</v>
      </c>
      <c r="B5" s="135">
        <f>COUNTIFS(veri!J:J,10,veri!I:I,"&gt;=200",veri!I:I,"&lt;300")</f>
        <v>0</v>
      </c>
      <c r="C5" s="135">
        <f>COUNTIFS(veri!J:J,11,veri!I:I,"&gt;=200",veri!I:I,"&lt;300")</f>
        <v>0</v>
      </c>
      <c r="D5" s="135">
        <f>COUNTIFS(veri!J:J,12,veri!I:I,"&gt;=200",veri!I:I,"&lt;300")</f>
        <v>0</v>
      </c>
      <c r="E5" s="135">
        <f>COUNTIFS(veri!J:J,13,veri!I:I,"&gt;=200",veri!I:I,"&lt;300")</f>
        <v>0</v>
      </c>
      <c r="F5" s="135">
        <f>COUNTIFS(veri!J:J,14,veri!I:I,"&gt;=200",veri!I:I,"&lt;300")</f>
        <v>0</v>
      </c>
      <c r="G5" s="135">
        <f>COUNTIFS(veri!J:J,15,veri!I:I,"&gt;=200",veri!I:I,"&lt;300")</f>
        <v>0</v>
      </c>
      <c r="H5" s="135">
        <f>COUNTIFS(veri!J:J,20,veri!I:I,"&gt;=200",veri!I:I,"&lt;300")</f>
        <v>0</v>
      </c>
      <c r="I5" s="135">
        <f>COUNTIFS(veri!J:J,30,veri!I:I,"&gt;=200",veri!I:I,"&lt;300")</f>
        <v>0</v>
      </c>
      <c r="J5" s="135">
        <f>COUNTIFS(veri!J:J,31,veri!I:I,"&gt;=200",veri!I:I,"&lt;300")</f>
        <v>0</v>
      </c>
      <c r="K5" s="135">
        <f>COUNTIFS(veri!J:J,32,veri!I:I,"&gt;=200",veri!I:I,"&lt;300")</f>
        <v>0</v>
      </c>
      <c r="L5" s="136">
        <f>COUNTIFS(veri!J:J,33,veri!I:I,"&gt;=200",veri!I:I,"&lt;300")</f>
        <v>0</v>
      </c>
      <c r="M5" s="135">
        <f>COUNTIFS(veri!J:J,34,veri!I:I,"&gt;=200",veri!I:I,"&lt;300")</f>
        <v>0</v>
      </c>
      <c r="N5" s="135">
        <f>COUNTIFS(veri!J:J,35,veri!I:I,"&gt;=200",veri!I:I,"&lt;300")</f>
        <v>0</v>
      </c>
      <c r="O5" s="135">
        <f>COUNTIFS(veri!J:J,36,veri!I:I,"&gt;=200",veri!I:I,"&lt;300")</f>
        <v>0</v>
      </c>
      <c r="P5" s="135">
        <f>COUNTIFS(veri!J:J,37,veri!I:I,"&gt;=200",veri!I:I,"&lt;300")</f>
        <v>0</v>
      </c>
      <c r="Q5" s="135">
        <f>COUNTIFS(veri!J:J,40,veri!I:I,"&gt;=200",veri!I:I,"&lt;300")</f>
        <v>0</v>
      </c>
      <c r="R5" s="135">
        <f>COUNTIFS(veri!J:J,41,veri!I:I,"&gt;=200",veri!I:I,"&lt;300")</f>
        <v>0</v>
      </c>
      <c r="S5" s="135">
        <f>COUNTIFS(veri!J:J,42,veri!I:I,"&gt;=200",veri!I:I,"&lt;300")</f>
        <v>0</v>
      </c>
      <c r="T5" s="135">
        <f>COUNTIFS(veri!J:J,43,veri!I:I,"&gt;=200",veri!I:I,"&lt;300")</f>
        <v>0</v>
      </c>
      <c r="U5" s="135">
        <f>COUNTIFS(veri!J:J,44,veri!I:I,"&gt;=200",veri!I:I,"&lt;300")</f>
        <v>0</v>
      </c>
      <c r="V5" s="135">
        <f>COUNTIFS(veri!J:J,45,veri!I:I,"&gt;=200",veri!I:I,"&lt;300")</f>
        <v>1</v>
      </c>
      <c r="W5" s="135">
        <f>COUNTIFS(veri!J:J,46,veri!I:I,"&gt;=200",veri!I:I,"&lt;300")</f>
        <v>0</v>
      </c>
      <c r="X5" s="135">
        <f>COUNTIFS(veri!J:J,50,veri!I:I,"&gt;=200",veri!I:I,"&lt;300")</f>
        <v>0</v>
      </c>
      <c r="Y5" s="135">
        <f>COUNTIFS(veri!J:J,51,veri!I:I,"&gt;=200",veri!I:I,"&lt;300")</f>
        <v>0</v>
      </c>
      <c r="Z5" s="135">
        <f>COUNTIFS(veri!J:J,52,veri!I:I,"&gt;=200",veri!I:I,"&lt;300")</f>
        <v>0</v>
      </c>
      <c r="AA5" s="135">
        <f>COUNTIFS(veri!J:J,53,veri!I:I,"&gt;=200",veri!I:I,"&lt;300")</f>
        <v>0</v>
      </c>
      <c r="AB5" s="135">
        <f>COUNTIFS(veri!J:J,54,veri!I:I,"&gt;=200",veri!I:I,"&lt;300")</f>
        <v>0</v>
      </c>
      <c r="AC5" s="135">
        <f>COUNTIFS(veri!J:J,55,veri!I:I,"&gt;=200",veri!I:I,"&lt;300")</f>
        <v>0</v>
      </c>
      <c r="AD5" s="135">
        <f>COUNTIFS(veri!J:J,60,veri!I:I,"&gt;=200",veri!I:I,"&lt;300")</f>
        <v>0</v>
      </c>
      <c r="AE5" s="135">
        <f>COUNTIFS(veri!J:J,70,veri!I:I,"&gt;=200",veri!I:I,"&lt;300")</f>
        <v>0</v>
      </c>
      <c r="AF5" s="135">
        <f>COUNTIFS(veri!J:J,80,veri!I:I,"&gt;=200",veri!I:I,"&lt;300")</f>
        <v>0</v>
      </c>
      <c r="AG5" s="135">
        <f>COUNTIFS(veri!J:J,90,veri!I:I,"&gt;=200",veri!I:I,"&lt;300")</f>
        <v>0</v>
      </c>
      <c r="AH5" s="135">
        <f>COUNTIFS(veri!J:J,99,veri!I:I,"&gt;=200",veri!I:I,"&lt;300")</f>
        <v>0</v>
      </c>
      <c r="AI5" s="60">
        <f t="shared" si="0"/>
        <v>1</v>
      </c>
      <c r="AJ5" s="60">
        <f>COUNTIFS(veri!I:I,"&gt;=200",veri!I:I,"&lt;300",veri!K:K,"&gt;=6000")</f>
        <v>0</v>
      </c>
      <c r="AK5" s="60">
        <f t="shared" si="1"/>
        <v>1</v>
      </c>
      <c r="AL5" s="129">
        <f>IFERROR(AK5/AK24*100,0)</f>
        <v>0</v>
      </c>
      <c r="AM5" s="14"/>
      <c r="AN5" s="14"/>
      <c r="AO5" s="14"/>
      <c r="AP5" s="14"/>
      <c r="AQ5" s="14"/>
      <c r="AR5" s="14"/>
    </row>
    <row r="6" spans="1:44" ht="12.75" customHeight="1" x14ac:dyDescent="0.15">
      <c r="A6" s="59" t="s">
        <v>676</v>
      </c>
      <c r="B6" s="60">
        <f>COUNTIFS(veri!J:J,10,veri!I:I,"&gt;=300",veri!I:I,"&lt;400")</f>
        <v>0</v>
      </c>
      <c r="C6" s="60">
        <f>COUNTIFS(veri!J:J,11,veri!I:I,"&gt;=300",veri!I:I,"&lt;400")</f>
        <v>0</v>
      </c>
      <c r="D6" s="60">
        <f>COUNTIFS(veri!J:J,12,veri!I:I,"&gt;=300",veri!I:I,"&lt;400")</f>
        <v>0</v>
      </c>
      <c r="E6" s="60">
        <f>COUNTIFS(veri!J:J,13,veri!I:I,"&gt;=300",veri!I:I,"&lt;400")</f>
        <v>0</v>
      </c>
      <c r="F6" s="60">
        <f>COUNTIFS(veri!J:J,14,veri!I:I,"&gt;=300",veri!I:I,"&lt;400")</f>
        <v>0</v>
      </c>
      <c r="G6" s="60">
        <f>COUNTIFS(veri!J:J,15,veri!I:I,"&gt;=300",veri!I:I,"&lt;400")</f>
        <v>0</v>
      </c>
      <c r="H6" s="60">
        <f>COUNTIFS(veri!J:J,20,veri!I:I,"&gt;=300",veri!I:I,"&lt;400")</f>
        <v>0</v>
      </c>
      <c r="I6" s="60">
        <f>COUNTIFS(veri!J:J,30,veri!I:I,"&gt;=300",veri!I:I,"&lt;400")</f>
        <v>0</v>
      </c>
      <c r="J6" s="60">
        <f>COUNTIFS(veri!J:J,31,veri!I:I,"&gt;=300",veri!I:I,"&lt;400")</f>
        <v>0</v>
      </c>
      <c r="K6" s="60">
        <f>COUNTIFS(veri!J:J,32,veri!I:I,"&gt;=300",veri!I:I,"&lt;400")</f>
        <v>0</v>
      </c>
      <c r="L6" s="133">
        <f>COUNTIFS(veri!J:J,33,veri!I:I,"&gt;=300",veri!I:I,"&lt;400")</f>
        <v>0</v>
      </c>
      <c r="M6" s="60">
        <f>COUNTIFS(veri!J:J,34,veri!I:I,"&gt;=300",veri!I:I,"&lt;400")</f>
        <v>0</v>
      </c>
      <c r="N6" s="60">
        <f>COUNTIFS(veri!J:J,35,veri!I:I,"&gt;=300",veri!I:I,"&lt;400")</f>
        <v>0</v>
      </c>
      <c r="O6" s="60">
        <f>COUNTIFS(veri!J:J,36,veri!I:I,"&gt;=300",veri!I:I,"&lt;400")</f>
        <v>0</v>
      </c>
      <c r="P6" s="60">
        <f>COUNTIFS(veri!J:J,37,veri!I:I,"&gt;=300",veri!I:I,"&lt;400")</f>
        <v>0</v>
      </c>
      <c r="Q6" s="60">
        <f>COUNTIFS(veri!J:J,40,veri!I:I,"&gt;=300",veri!I:I,"&lt;400")</f>
        <v>0</v>
      </c>
      <c r="R6" s="60">
        <f>COUNTIFS(veri!J:J,41,veri!I:I,"&gt;=300",veri!I:I,"&lt;400")</f>
        <v>0</v>
      </c>
      <c r="S6" s="60">
        <f>COUNTIFS(veri!J:J,42,veri!I:I,"&gt;=300",veri!I:I,"&lt;400")</f>
        <v>0</v>
      </c>
      <c r="T6" s="60">
        <f>COUNTIFS(veri!J:J,43,veri!I:I,"&gt;=300",veri!I:I,"&lt;400")</f>
        <v>0</v>
      </c>
      <c r="U6" s="60">
        <f>COUNTIFS(veri!J:J,44,veri!I:I,"&gt;=300",veri!I:I,"&lt;400")</f>
        <v>1</v>
      </c>
      <c r="V6" s="60">
        <f>COUNTIFS(veri!J:J,45,veri!I:I,"&gt;=300",veri!I:I,"&lt;400")</f>
        <v>1</v>
      </c>
      <c r="W6" s="60">
        <f>COUNTIFS(veri!J:J,46,veri!I:I,"&gt;=300",veri!I:I,"&lt;400")</f>
        <v>0</v>
      </c>
      <c r="X6" s="60">
        <f>COUNTIFS(veri!J:J,50,veri!I:I,"&gt;=300",veri!I:I,"&lt;400")</f>
        <v>0</v>
      </c>
      <c r="Y6" s="60">
        <f>COUNTIFS(veri!J:J,51,veri!I:I,"&gt;=300",veri!I:I,"&lt;400")</f>
        <v>0</v>
      </c>
      <c r="Z6" s="60">
        <f>COUNTIFS(veri!J:J,52,veri!I:I,"&gt;=300",veri!I:I,"&lt;400")</f>
        <v>1</v>
      </c>
      <c r="AA6" s="60">
        <f>COUNTIFS(veri!J:J,53,veri!I:I,"&gt;=300",veri!I:I,"&lt;400")</f>
        <v>0</v>
      </c>
      <c r="AB6" s="60">
        <f>COUNTIFS(veri!J:J,54,veri!I:I,"&gt;=300",veri!I:I,"&lt;400")</f>
        <v>0</v>
      </c>
      <c r="AC6" s="60">
        <f>COUNTIFS(veri!J:J,55,veri!I:I,"&gt;=300",veri!I:I,"&lt;400")</f>
        <v>0</v>
      </c>
      <c r="AD6" s="60">
        <f>COUNTIFS(veri!J:J,60,veri!I:I,"&gt;=300",veri!I:I,"&lt;400")</f>
        <v>0</v>
      </c>
      <c r="AE6" s="60">
        <f>COUNTIFS(veri!J:J,70,veri!I:I,"&gt;=300",veri!I:I,"&lt;400")</f>
        <v>0</v>
      </c>
      <c r="AF6" s="60">
        <f>COUNTIFS(veri!J:J,80,veri!I:I,"&gt;=300",veri!I:I,"&lt;400")</f>
        <v>0</v>
      </c>
      <c r="AG6" s="60">
        <f>COUNTIFS(veri!J:J,90,veri!I:I,"&gt;=300",veri!I:I,"&lt;400")</f>
        <v>0</v>
      </c>
      <c r="AH6" s="60">
        <f>COUNTIFS(veri!J:J,99,veri!I:I,"&gt;=300",veri!I:I,"&lt;400")</f>
        <v>0</v>
      </c>
      <c r="AI6" s="60">
        <f t="shared" si="0"/>
        <v>3</v>
      </c>
      <c r="AJ6" s="60">
        <f>COUNTIFS(veri!I:I,"&gt;=300",veri!I:I,"&lt;400",veri!K:K,"&gt;=6000")</f>
        <v>0</v>
      </c>
      <c r="AK6" s="60">
        <f t="shared" si="1"/>
        <v>3</v>
      </c>
      <c r="AL6" s="129">
        <f>IFERROR(AK6/AK24*100,0)</f>
        <v>0</v>
      </c>
      <c r="AM6" s="14"/>
      <c r="AN6" s="14"/>
      <c r="AO6" s="14"/>
      <c r="AP6" s="14"/>
      <c r="AQ6" s="14"/>
      <c r="AR6" s="14"/>
    </row>
    <row r="7" spans="1:44" ht="12.75" customHeight="1" x14ac:dyDescent="0.15">
      <c r="A7" s="134" t="s">
        <v>677</v>
      </c>
      <c r="B7" s="135">
        <f>COUNTIFS(veri!J:J,10,veri!I:I,"&gt;=400",veri!I:I,"&lt;500")</f>
        <v>0</v>
      </c>
      <c r="C7" s="135">
        <f>COUNTIFS(veri!J:J,11,veri!I:I,"&gt;=400",veri!I:I,"&lt;500")</f>
        <v>0</v>
      </c>
      <c r="D7" s="135">
        <f>COUNTIFS(veri!J:J,12,veri!I:I,"&gt;=400",veri!I:I,"&lt;500")</f>
        <v>0</v>
      </c>
      <c r="E7" s="135">
        <f>COUNTIFS(veri!J:J,13,veri!I:I,"&gt;=400",veri!I:I,"&lt;500")</f>
        <v>0</v>
      </c>
      <c r="F7" s="135">
        <f>COUNTIFS(veri!J:J,14,veri!I:I,"&gt;=400",veri!I:I,"&lt;500")</f>
        <v>0</v>
      </c>
      <c r="G7" s="135">
        <f>COUNTIFS(veri!J:J,15,veri!I:I,"&gt;=400",veri!I:I,"&lt;500")</f>
        <v>0</v>
      </c>
      <c r="H7" s="135">
        <f>COUNTIFS(veri!J:J,20,veri!I:I,"&gt;=400",veri!I:I,"&lt;500")</f>
        <v>0</v>
      </c>
      <c r="I7" s="135">
        <f>COUNTIFS(veri!J:J,30,veri!I:I,"&gt;=400",veri!I:I,"&lt;500")</f>
        <v>2</v>
      </c>
      <c r="J7" s="135">
        <f>COUNTIFS(veri!J:J,31,veri!I:I,"&gt;=400",veri!I:I,"&lt;500")</f>
        <v>0</v>
      </c>
      <c r="K7" s="135">
        <f>COUNTIFS(veri!J:J,32,veri!I:I,"&gt;=400",veri!I:I,"&lt;500")</f>
        <v>0</v>
      </c>
      <c r="L7" s="136">
        <f>COUNTIFS(veri!J:J,33,veri!I:I,"&gt;=400",veri!I:I,"&lt;500")</f>
        <v>0</v>
      </c>
      <c r="M7" s="135">
        <f>COUNTIFS(veri!J:J,34,veri!I:I,"&gt;=400",veri!I:I,"&lt;500")</f>
        <v>0</v>
      </c>
      <c r="N7" s="135">
        <f>COUNTIFS(veri!J:J,35,veri!I:I,"&gt;=400",veri!I:I,"&lt;500")</f>
        <v>0</v>
      </c>
      <c r="O7" s="135">
        <f>COUNTIFS(veri!J:J,36,veri!I:I,"&gt;=400",veri!I:I,"&lt;500")</f>
        <v>0</v>
      </c>
      <c r="P7" s="135">
        <f>COUNTIFS(veri!J:J,37,veri!I:I,"&gt;=400",veri!I:I,"&lt;500")</f>
        <v>0</v>
      </c>
      <c r="Q7" s="135">
        <f>COUNTIFS(veri!J:J,40,veri!I:I,"&gt;=400",veri!I:I,"&lt;500")</f>
        <v>0</v>
      </c>
      <c r="R7" s="135">
        <f>COUNTIFS(veri!J:J,41,veri!I:I,"&gt;=400",veri!I:I,"&lt;500")</f>
        <v>0</v>
      </c>
      <c r="S7" s="135">
        <f>COUNTIFS(veri!J:J,42,veri!I:I,"&gt;=400",veri!I:I,"&lt;500")</f>
        <v>0</v>
      </c>
      <c r="T7" s="135">
        <f>COUNTIFS(veri!J:J,43,veri!I:I,"&gt;=400",veri!I:I,"&lt;500")</f>
        <v>0</v>
      </c>
      <c r="U7" s="135">
        <f>COUNTIFS(veri!J:J,44,veri!I:I,"&gt;=400",veri!I:I,"&lt;500")</f>
        <v>0</v>
      </c>
      <c r="V7" s="135">
        <f>COUNTIFS(veri!J:J,45,veri!I:I,"&gt;=400",veri!I:I,"&lt;500")</f>
        <v>0</v>
      </c>
      <c r="W7" s="135">
        <f>COUNTIFS(veri!J:J,46,veri!I:I,"&gt;=400",veri!I:I,"&lt;500")</f>
        <v>0</v>
      </c>
      <c r="X7" s="135">
        <f>COUNTIFS(veri!J:J,50,veri!I:I,"&gt;=400",veri!I:I,"&lt;500")</f>
        <v>0</v>
      </c>
      <c r="Y7" s="135">
        <f>COUNTIFS(veri!J:J,51,veri!I:I,"&gt;=400",veri!I:I,"&lt;500")</f>
        <v>0</v>
      </c>
      <c r="Z7" s="135">
        <f>COUNTIFS(veri!J:J,52,veri!I:I,"&gt;=400",veri!I:I,"&lt;500")</f>
        <v>0</v>
      </c>
      <c r="AA7" s="135">
        <f>COUNTIFS(veri!J:J,53,veri!I:I,"&gt;=400",veri!I:I,"&lt;500")</f>
        <v>0</v>
      </c>
      <c r="AB7" s="135">
        <f>COUNTIFS(veri!J:J,54,veri!I:I,"&gt;=400",veri!I:I,"&lt;500")</f>
        <v>0</v>
      </c>
      <c r="AC7" s="135">
        <f>COUNTIFS(veri!J:J,55,veri!I:I,"&gt;=400",veri!I:I,"&lt;500")</f>
        <v>0</v>
      </c>
      <c r="AD7" s="135">
        <f>COUNTIFS(veri!J:J,60,veri!I:I,"&gt;=400",veri!I:I,"&lt;500")</f>
        <v>0</v>
      </c>
      <c r="AE7" s="135">
        <f>COUNTIFS(veri!J:J,70,veri!I:I,"&gt;=400",veri!I:I,"&lt;500")</f>
        <v>0</v>
      </c>
      <c r="AF7" s="135">
        <f>COUNTIFS(veri!J:J,80,veri!I:I,"&gt;=400",veri!I:I,"&lt;500")</f>
        <v>0</v>
      </c>
      <c r="AG7" s="135">
        <f>COUNTIFS(veri!J:J,90,veri!I:I,"&gt;=400",veri!I:I,"&lt;500")</f>
        <v>0</v>
      </c>
      <c r="AH7" s="135">
        <f>COUNTIFS(veri!J:J,99,veri!I:I,"&gt;=400",veri!I:I,"&lt;500")</f>
        <v>0</v>
      </c>
      <c r="AI7" s="60">
        <f t="shared" si="0"/>
        <v>2</v>
      </c>
      <c r="AJ7" s="60">
        <f>COUNTIFS(veri!I:I,"&gt;=400",veri!I:I,"&lt;500",veri!K:K,"&gt;=6000")</f>
        <v>0</v>
      </c>
      <c r="AK7" s="60">
        <f t="shared" si="1"/>
        <v>2</v>
      </c>
      <c r="AL7" s="129">
        <f>IFERROR(AK7/AK24*100,0)</f>
        <v>0</v>
      </c>
      <c r="AM7" s="14"/>
      <c r="AN7" s="14"/>
      <c r="AO7" s="14"/>
      <c r="AP7" s="14"/>
      <c r="AQ7" s="14"/>
      <c r="AR7" s="14"/>
    </row>
    <row r="8" spans="1:44" ht="12.75" customHeight="1" x14ac:dyDescent="0.15">
      <c r="A8" s="59" t="s">
        <v>892</v>
      </c>
      <c r="B8" s="60">
        <f>COUNTIFS(veri!J:J,10,veri!I:I,"&gt;=500",veri!I:I,"&lt;600")</f>
        <v>0</v>
      </c>
      <c r="C8" s="60">
        <f>COUNTIFS(veri!J:J,11,veri!I:I,"&gt;=500",veri!I:I,"&lt;600")</f>
        <v>0</v>
      </c>
      <c r="D8" s="60">
        <f>COUNTIFS(veri!J:J,12,veri!I:I,"&gt;=500",veri!I:I,"&lt;600")</f>
        <v>0</v>
      </c>
      <c r="E8" s="60">
        <f>COUNTIFS(veri!J:J,13,veri!I:I,"&gt;=500",veri!I:I,"&lt;600")</f>
        <v>0</v>
      </c>
      <c r="F8" s="60">
        <f>COUNTIFS(veri!J:J,14,veri!I:I,"&gt;=500",veri!I:I,"&lt;600")</f>
        <v>0</v>
      </c>
      <c r="G8" s="60">
        <f>COUNTIFS(veri!J:J,15,veri!I:I,"&gt;=500",veri!I:I,"&lt;600")</f>
        <v>0</v>
      </c>
      <c r="H8" s="60">
        <f>COUNTIFS(veri!J:J,20,veri!I:I,"&gt;=500",veri!I:I,"&lt;600")</f>
        <v>0</v>
      </c>
      <c r="I8" s="60">
        <f>COUNTIFS(veri!J:J,30,veri!I:I,"&gt;=500",veri!I:I,"&lt;600")</f>
        <v>0</v>
      </c>
      <c r="J8" s="60">
        <f>COUNTIFS(veri!J:J,31,veri!I:I,"&gt;=500",veri!I:I,"&lt;600")</f>
        <v>0</v>
      </c>
      <c r="K8" s="60">
        <f>COUNTIFS(veri!J:J,32,veri!I:I,"&gt;=500",veri!I:I,"&lt;600")</f>
        <v>0</v>
      </c>
      <c r="L8" s="133">
        <f>COUNTIFS(veri!J:J,33,veri!I:I,"&gt;=500",veri!I:I,"&lt;600")</f>
        <v>0</v>
      </c>
      <c r="M8" s="60">
        <f>COUNTIFS(veri!J:J,34,veri!I:I,"&gt;=500",veri!I:I,"&lt;600")</f>
        <v>0</v>
      </c>
      <c r="N8" s="60">
        <f>COUNTIFS(veri!J:J,35,veri!I:I,"&gt;=500",veri!I:I,"&lt;600")</f>
        <v>0</v>
      </c>
      <c r="O8" s="60">
        <f>COUNTIFS(veri!J:J,36,veri!I:I,"&gt;=500",veri!I:I,"&lt;600")</f>
        <v>0</v>
      </c>
      <c r="P8" s="60">
        <f>COUNTIFS(veri!J:J,37,veri!I:I,"&gt;=500",veri!I:I,"&lt;600")</f>
        <v>0</v>
      </c>
      <c r="Q8" s="60">
        <f>COUNTIFS(veri!J:J,40,veri!I:I,"&gt;=500",veri!I:I,"&lt;600")</f>
        <v>0</v>
      </c>
      <c r="R8" s="60">
        <f>COUNTIFS(veri!J:J,41,veri!I:I,"&gt;=500",veri!I:I,"&lt;600")</f>
        <v>0</v>
      </c>
      <c r="S8" s="60">
        <f>COUNTIFS(veri!J:J,42,veri!I:I,"&gt;=500",veri!I:I,"&lt;600")</f>
        <v>0</v>
      </c>
      <c r="T8" s="60">
        <f>COUNTIFS(veri!J:J,43,veri!I:I,"&gt;=500",veri!I:I,"&lt;600")</f>
        <v>0</v>
      </c>
      <c r="U8" s="60">
        <f>COUNTIFS(veri!J:J,44,veri!I:I,"&gt;=500",veri!I:I,"&lt;600")</f>
        <v>0</v>
      </c>
      <c r="V8" s="60">
        <f>COUNTIFS(veri!J:J,45,veri!I:I,"&gt;=500",veri!I:I,"&lt;600")</f>
        <v>0</v>
      </c>
      <c r="W8" s="60">
        <f>COUNTIFS(veri!J:J,46,veri!I:I,"&gt;=500",veri!I:I,"&lt;600")</f>
        <v>0</v>
      </c>
      <c r="X8" s="60">
        <f>COUNTIFS(veri!J:J,50,veri!I:I,"&gt;=500",veri!I:I,"&lt;600")</f>
        <v>0</v>
      </c>
      <c r="Y8" s="60">
        <f>COUNTIFS(veri!J:J,51,veri!I:I,"&gt;=500",veri!I:I,"&lt;600")</f>
        <v>0</v>
      </c>
      <c r="Z8" s="60">
        <f>COUNTIFS(veri!J:J,52,veri!I:I,"&gt;=500",veri!I:I,"&lt;600")</f>
        <v>0</v>
      </c>
      <c r="AA8" s="60">
        <f>COUNTIFS(veri!J:J,53,veri!I:I,"&gt;=500",veri!I:I,"&lt;600")</f>
        <v>0</v>
      </c>
      <c r="AB8" s="60">
        <f>COUNTIFS(veri!J:J,54,veri!I:I,"&gt;=500",veri!I:I,"&lt;600")</f>
        <v>0</v>
      </c>
      <c r="AC8" s="60">
        <f>COUNTIFS(veri!J:J,55,veri!I:I,"&gt;=500",veri!I:I,"&lt;600")</f>
        <v>0</v>
      </c>
      <c r="AD8" s="60">
        <f>COUNTIFS(veri!J:J,60,veri!I:I,"&gt;=500",veri!I:I,"&lt;600")</f>
        <v>0</v>
      </c>
      <c r="AE8" s="60">
        <f>COUNTIFS(veri!J:J,70,veri!I:I,"&gt;=500",veri!I:I,"&lt;600")</f>
        <v>0</v>
      </c>
      <c r="AF8" s="60">
        <f>COUNTIFS(veri!J:J,80,veri!I:I,"&gt;=500",veri!I:I,"&lt;600")</f>
        <v>0</v>
      </c>
      <c r="AG8" s="60">
        <f>COUNTIFS(veri!J:J,90,veri!I:I,"&gt;=500",veri!I:I,"&lt;600")</f>
        <v>0</v>
      </c>
      <c r="AH8" s="60">
        <f>COUNTIFS(veri!J:J,99,veri!I:I,"&gt;=500",veri!I:I,"&lt;600")</f>
        <v>0</v>
      </c>
      <c r="AI8" s="60">
        <f t="shared" si="0"/>
        <v>0</v>
      </c>
      <c r="AJ8" s="60">
        <f>COUNTIFS(veri!I:I,"&gt;=500",veri!I:I,"&lt;600",veri!K:K,"&gt;=6000")</f>
        <v>0</v>
      </c>
      <c r="AK8" s="60">
        <f t="shared" si="1"/>
        <v>0</v>
      </c>
      <c r="AL8" s="129">
        <f>IFERROR(AK8/AK24*100,0)</f>
        <v>0</v>
      </c>
      <c r="AM8" s="14"/>
      <c r="AN8" s="14"/>
      <c r="AO8" s="14"/>
      <c r="AP8" s="14"/>
      <c r="AQ8" s="14"/>
      <c r="AR8" s="14"/>
    </row>
    <row r="9" spans="1:44" ht="12.75" customHeight="1" x14ac:dyDescent="0.15">
      <c r="A9" s="134" t="s">
        <v>679</v>
      </c>
      <c r="B9" s="135">
        <f>COUNTIFS(veri!J:J,10,veri!I:I,"&gt;=600",veri!I:I,"&lt;700")</f>
        <v>0</v>
      </c>
      <c r="C9" s="135">
        <f>COUNTIFS(veri!J:J,11,veri!I:I,"&gt;=600",veri!I:I,"&lt;700")</f>
        <v>0</v>
      </c>
      <c r="D9" s="135">
        <f>COUNTIFS(veri!J:J,12,veri!I:I,"&gt;=600",veri!I:I,"&lt;700")</f>
        <v>0</v>
      </c>
      <c r="E9" s="135">
        <f>COUNTIFS(veri!J:J,13,veri!I:I,"&gt;=600",veri!I:I,"&lt;700")</f>
        <v>0</v>
      </c>
      <c r="F9" s="135">
        <f>COUNTIFS(veri!J:J,14,veri!I:I,"&gt;=600",veri!I:I,"&lt;700")</f>
        <v>0</v>
      </c>
      <c r="G9" s="135">
        <f>COUNTIFS(veri!J:J,15,veri!I:I,"&gt;=600",veri!I:I,"&lt;700")</f>
        <v>0</v>
      </c>
      <c r="H9" s="135">
        <f>COUNTIFS(veri!J:J,20,veri!I:I,"&gt;=600",veri!I:I,"&lt;700")</f>
        <v>0</v>
      </c>
      <c r="I9" s="135">
        <f>COUNTIFS(veri!J:J,30,veri!I:I,"&gt;=600",veri!I:I,"&lt;700")</f>
        <v>0</v>
      </c>
      <c r="J9" s="135">
        <f>COUNTIFS(veri!J:J,31,veri!I:I,"&gt;=600",veri!I:I,"&lt;700")</f>
        <v>0</v>
      </c>
      <c r="K9" s="135">
        <f>COUNTIFS(veri!J:J,32,veri!I:I,"&gt;=600",veri!I:I,"&lt;700")</f>
        <v>0</v>
      </c>
      <c r="L9" s="136">
        <f>COUNTIFS(veri!J:J,33,veri!I:I,"&gt;=600",veri!I:I,"&lt;700")</f>
        <v>0</v>
      </c>
      <c r="M9" s="135">
        <f>COUNTIFS(veri!J:J,34,veri!I:I,"&gt;=600",veri!I:I,"&lt;700")</f>
        <v>0</v>
      </c>
      <c r="N9" s="135">
        <f>COUNTIFS(veri!J:J,35,veri!I:I,"&gt;=600",veri!I:I,"&lt;700")</f>
        <v>0</v>
      </c>
      <c r="O9" s="135">
        <f>COUNTIFS(veri!J:J,36,veri!I:I,"&gt;=600",veri!I:I,"&lt;700")</f>
        <v>0</v>
      </c>
      <c r="P9" s="135">
        <f>COUNTIFS(veri!J:J,37,veri!I:I,"&gt;=600",veri!I:I,"&lt;700")</f>
        <v>0</v>
      </c>
      <c r="Q9" s="135">
        <f>COUNTIFS(veri!J:J,40,veri!I:I,"&gt;=600",veri!I:I,"&lt;700")</f>
        <v>0</v>
      </c>
      <c r="R9" s="135">
        <f>COUNTIFS(veri!J:J,41,veri!I:I,"&gt;=600",veri!I:I,"&lt;700")</f>
        <v>0</v>
      </c>
      <c r="S9" s="135">
        <f>COUNTIFS(veri!J:J,42,veri!I:I,"&gt;=600",veri!I:I,"&lt;700")</f>
        <v>0</v>
      </c>
      <c r="T9" s="135">
        <f>COUNTIFS(veri!J:J,43,veri!I:I,"&gt;=600",veri!I:I,"&lt;700")</f>
        <v>0</v>
      </c>
      <c r="U9" s="135">
        <f>COUNTIFS(veri!J:J,44,veri!I:I,"&gt;=600",veri!I:I,"&lt;700")</f>
        <v>0</v>
      </c>
      <c r="V9" s="135">
        <f>COUNTIFS(veri!J:J,45,veri!I:I,"&gt;=600",veri!I:I,"&lt;700")</f>
        <v>0</v>
      </c>
      <c r="W9" s="135">
        <f>COUNTIFS(veri!J:J,46,veri!I:I,"&gt;=600",veri!I:I,"&lt;700")</f>
        <v>0</v>
      </c>
      <c r="X9" s="135">
        <f>COUNTIFS(veri!J:J,50,veri!I:I,"&gt;=600",veri!I:I,"&lt;700")</f>
        <v>0</v>
      </c>
      <c r="Y9" s="135">
        <f>COUNTIFS(veri!J:J,51,veri!I:I,"&gt;=600",veri!I:I,"&lt;700")</f>
        <v>0</v>
      </c>
      <c r="Z9" s="135">
        <f>COUNTIFS(veri!J:J,52,veri!I:I,"&gt;=600",veri!I:I,"&lt;700")</f>
        <v>0</v>
      </c>
      <c r="AA9" s="135">
        <f>COUNTIFS(veri!J:J,53,veri!I:I,"&gt;=600",veri!I:I,"&lt;700")</f>
        <v>0</v>
      </c>
      <c r="AB9" s="135">
        <f>COUNTIFS(veri!J:J,54,veri!I:I,"&gt;=600",veri!I:I,"&lt;700")</f>
        <v>0</v>
      </c>
      <c r="AC9" s="135">
        <f>COUNTIFS(veri!J:J,55,veri!I:I,"&gt;=600",veri!I:I,"&lt;700")</f>
        <v>0</v>
      </c>
      <c r="AD9" s="135">
        <f>COUNTIFS(veri!J:J,60,veri!I:I,"&gt;=600",veri!I:I,"&lt;700")</f>
        <v>0</v>
      </c>
      <c r="AE9" s="135">
        <f>COUNTIFS(veri!J:J,70,veri!I:I,"&gt;=600",veri!I:I,"&lt;700")</f>
        <v>0</v>
      </c>
      <c r="AF9" s="135">
        <f>COUNTIFS(veri!J:J,80,veri!I:I,"&gt;=600",veri!I:I,"&lt;700")</f>
        <v>0</v>
      </c>
      <c r="AG9" s="135">
        <f>COUNTIFS(veri!J:J,90,veri!I:I,"&gt;=600",veri!I:I,"&lt;700")</f>
        <v>0</v>
      </c>
      <c r="AH9" s="135">
        <f>COUNTIFS(veri!J:J,99,veri!I:I,"&gt;=600",veri!I:I,"&lt;700")</f>
        <v>0</v>
      </c>
      <c r="AI9" s="60">
        <f t="shared" si="0"/>
        <v>0</v>
      </c>
      <c r="AJ9" s="60">
        <f>COUNTIFS(veri!I:I,"&gt;=600",veri!I:I,"&lt;700",veri!K:K,"&gt;=6000")</f>
        <v>0</v>
      </c>
      <c r="AK9" s="60">
        <f t="shared" si="1"/>
        <v>0</v>
      </c>
      <c r="AL9" s="129">
        <f>IFERROR(AK9/AK24*100,0)</f>
        <v>0</v>
      </c>
      <c r="AM9" s="14"/>
      <c r="AN9" s="14"/>
      <c r="AO9" s="14"/>
      <c r="AP9" s="14"/>
      <c r="AQ9" s="14"/>
      <c r="AR9" s="14"/>
    </row>
    <row r="10" spans="1:44" ht="12.75" customHeight="1" x14ac:dyDescent="0.15">
      <c r="A10" s="59" t="s">
        <v>680</v>
      </c>
      <c r="B10" s="60">
        <f>COUNTIFS(veri!J:J,10,veri!I:I,"&gt;=700",veri!I:I,"&lt;800")</f>
        <v>0</v>
      </c>
      <c r="C10" s="60">
        <f>COUNTIFS(veri!J:J,11,veri!I:I,"&gt;=700",veri!I:I,"&lt;800")</f>
        <v>0</v>
      </c>
      <c r="D10" s="60">
        <f>COUNTIFS(veri!J:J,12,veri!I:I,"&gt;=700",veri!I:I,"&lt;800")</f>
        <v>0</v>
      </c>
      <c r="E10" s="60">
        <f>COUNTIFS(veri!J:J,13,veri!I:I,"&gt;=700",veri!I:I,"&lt;800")</f>
        <v>0</v>
      </c>
      <c r="F10" s="60">
        <f>COUNTIFS(veri!J:J,14,veri!I:I,"&gt;=700",veri!I:I,"&lt;800")</f>
        <v>0</v>
      </c>
      <c r="G10" s="60">
        <f>COUNTIFS(veri!J:J,15,veri!I:I,"&gt;=700",veri!I:I,"&lt;800")</f>
        <v>0</v>
      </c>
      <c r="H10" s="60">
        <f>COUNTIFS(veri!J:J,20,veri!I:I,"&gt;=700",veri!I:I,"&lt;800")</f>
        <v>0</v>
      </c>
      <c r="I10" s="60">
        <f>COUNTIFS(veri!J:J,30,veri!I:I,"&gt;=700",veri!I:I,"&lt;800")</f>
        <v>0</v>
      </c>
      <c r="J10" s="60">
        <f>COUNTIFS(veri!J:J,31,veri!I:I,"&gt;=700",veri!I:I,"&lt;800")</f>
        <v>0</v>
      </c>
      <c r="K10" s="60">
        <f>COUNTIFS(veri!J:J,32,veri!I:I,"&gt;=700",veri!I:I,"&lt;800")</f>
        <v>0</v>
      </c>
      <c r="L10" s="133">
        <f>COUNTIFS(veri!J:J,33,veri!I:I,"&gt;=700",veri!I:I,"&lt;800")</f>
        <v>0</v>
      </c>
      <c r="M10" s="60">
        <f>COUNTIFS(veri!J:J,34,veri!I:I,"&gt;=700",veri!I:I,"&lt;800")</f>
        <v>0</v>
      </c>
      <c r="N10" s="60">
        <f>COUNTIFS(veri!J:J,35,veri!I:I,"&gt;=700",veri!I:I,"&lt;800")</f>
        <v>0</v>
      </c>
      <c r="O10" s="60">
        <f>COUNTIFS(veri!J:J,36,veri!I:I,"&gt;=700",veri!I:I,"&lt;800")</f>
        <v>0</v>
      </c>
      <c r="P10" s="60">
        <f>COUNTIFS(veri!J:J,37,veri!I:I,"&gt;=700",veri!I:I,"&lt;800")</f>
        <v>0</v>
      </c>
      <c r="Q10" s="60">
        <f>COUNTIFS(veri!J:J,40,veri!I:I,"&gt;=700",veri!I:I,"&lt;800")</f>
        <v>0</v>
      </c>
      <c r="R10" s="60">
        <f>COUNTIFS(veri!J:J,41,veri!I:I,"&gt;=700",veri!I:I,"&lt;800")</f>
        <v>0</v>
      </c>
      <c r="S10" s="60">
        <f>COUNTIFS(veri!J:J,42,veri!I:I,"&gt;=700",veri!I:I,"&lt;800")</f>
        <v>0</v>
      </c>
      <c r="T10" s="60">
        <f>COUNTIFS(veri!J:J,43,veri!I:I,"&gt;=700",veri!I:I,"&lt;800")</f>
        <v>0</v>
      </c>
      <c r="U10" s="60">
        <f>COUNTIFS(veri!J:J,44,veri!I:I,"&gt;=700",veri!I:I,"&lt;800")</f>
        <v>0</v>
      </c>
      <c r="V10" s="60">
        <f>COUNTIFS(veri!J:J,45,veri!I:I,"&gt;=700",veri!I:I,"&lt;800")</f>
        <v>0</v>
      </c>
      <c r="W10" s="60">
        <f>COUNTIFS(veri!J:J,46,veri!I:I,"&gt;=700",veri!I:I,"&lt;800")</f>
        <v>0</v>
      </c>
      <c r="X10" s="60">
        <f>COUNTIFS(veri!J:J,50,veri!I:I,"&gt;=700",veri!I:I,"&lt;800")</f>
        <v>0</v>
      </c>
      <c r="Y10" s="60">
        <f>COUNTIFS(veri!J:J,51,veri!I:I,"&gt;=700",veri!I:I,"&lt;800")</f>
        <v>0</v>
      </c>
      <c r="Z10" s="60">
        <f>COUNTIFS(veri!J:J,52,veri!I:I,"&gt;=700",veri!I:I,"&lt;800")</f>
        <v>0</v>
      </c>
      <c r="AA10" s="60">
        <f>COUNTIFS(veri!J:J,53,veri!I:I,"&gt;=700",veri!I:I,"&lt;800")</f>
        <v>0</v>
      </c>
      <c r="AB10" s="60">
        <f>COUNTIFS(veri!J:J,54,veri!I:I,"&gt;=700",veri!I:I,"&lt;800")</f>
        <v>0</v>
      </c>
      <c r="AC10" s="60">
        <f>COUNTIFS(veri!J:J,55,veri!I:I,"&gt;=700",veri!I:I,"&lt;800")</f>
        <v>0</v>
      </c>
      <c r="AD10" s="60">
        <f>COUNTIFS(veri!J:J,60,veri!I:I,"&gt;=700",veri!I:I,"&lt;800")</f>
        <v>0</v>
      </c>
      <c r="AE10" s="60">
        <f>COUNTIFS(veri!J:J,70,veri!I:I,"&gt;=700",veri!I:I,"&lt;800")</f>
        <v>0</v>
      </c>
      <c r="AF10" s="60">
        <f>COUNTIFS(veri!J:J,80,veri!I:I,"&gt;=700",veri!I:I,"&lt;800")</f>
        <v>0</v>
      </c>
      <c r="AG10" s="60">
        <f>COUNTIFS(veri!J:J,90,veri!I:I,"&gt;=700",veri!I:I,"&lt;800")</f>
        <v>0</v>
      </c>
      <c r="AH10" s="60">
        <f>COUNTIFS(veri!J:J,99,veri!I:I,"&gt;=700",veri!I:I,"&lt;800")</f>
        <v>0</v>
      </c>
      <c r="AI10" s="60">
        <f t="shared" si="0"/>
        <v>0</v>
      </c>
      <c r="AJ10" s="60">
        <f>COUNTIFS(veri!I:I,"&gt;=700",veri!I:I,"&lt;800",veri!K:K,"&gt;=6000")</f>
        <v>0</v>
      </c>
      <c r="AK10" s="60">
        <f t="shared" si="1"/>
        <v>0</v>
      </c>
      <c r="AL10" s="129">
        <f>IFERROR(AK10/AK24*100,0)</f>
        <v>0</v>
      </c>
      <c r="AM10" s="14"/>
      <c r="AN10" s="14"/>
      <c r="AO10" s="14"/>
      <c r="AP10" s="14"/>
      <c r="AQ10" s="14"/>
      <c r="AR10" s="14"/>
    </row>
    <row r="11" spans="1:44" ht="12.75" customHeight="1" x14ac:dyDescent="0.15">
      <c r="A11" s="134" t="s">
        <v>681</v>
      </c>
      <c r="B11" s="135">
        <f>COUNTIFS(veri!J:J,10,veri!I:I,"&gt;=800",veri!I:I,"&lt;900")</f>
        <v>0</v>
      </c>
      <c r="C11" s="135">
        <f>COUNTIFS(veri!J:J,11,veri!I:I,"&gt;=800",veri!I:I,"&lt;900")</f>
        <v>0</v>
      </c>
      <c r="D11" s="135">
        <f>COUNTIFS(veri!J:J,12,veri!I:I,"&gt;=800",veri!I:I,"&lt;900")</f>
        <v>0</v>
      </c>
      <c r="E11" s="135">
        <f>COUNTIFS(veri!J:J,13,veri!I:I,"&gt;=800",veri!I:I,"&lt;900")</f>
        <v>0</v>
      </c>
      <c r="F11" s="135">
        <f>COUNTIFS(veri!J:J,14,veri!I:I,"&gt;=800",veri!I:I,"&lt;900")</f>
        <v>0</v>
      </c>
      <c r="G11" s="135">
        <f>COUNTIFS(veri!J:J,15,veri!I:I,"&gt;=800",veri!I:I,"&lt;900")</f>
        <v>0</v>
      </c>
      <c r="H11" s="135">
        <f>COUNTIFS(veri!J:J,20,veri!I:I,"&gt;=800",veri!I:I,"&lt;900")</f>
        <v>0</v>
      </c>
      <c r="I11" s="135">
        <f>COUNTIFS(veri!J:J,30,veri!I:I,"&gt;=800",veri!I:I,"&lt;900")</f>
        <v>0</v>
      </c>
      <c r="J11" s="135">
        <f>COUNTIFS(veri!J:J,31,veri!I:I,"&gt;=800",veri!I:I,"&lt;900")</f>
        <v>0</v>
      </c>
      <c r="K11" s="135">
        <f>COUNTIFS(veri!J:J,32,veri!I:I,"&gt;=800",veri!I:I,"&lt;900")</f>
        <v>0</v>
      </c>
      <c r="L11" s="136">
        <f>COUNTIFS(veri!J:J,33,veri!I:I,"&gt;=800",veri!I:I,"&lt;900")</f>
        <v>0</v>
      </c>
      <c r="M11" s="135">
        <f>COUNTIFS(veri!J:J,34,veri!I:I,"&gt;=800",veri!I:I,"&lt;900")</f>
        <v>0</v>
      </c>
      <c r="N11" s="135">
        <f>COUNTIFS(veri!J:J,35,veri!I:I,"&gt;=800",veri!I:I,"&lt;900")</f>
        <v>0</v>
      </c>
      <c r="O11" s="135">
        <f>COUNTIFS(veri!J:J,36,veri!I:I,"&gt;=800",veri!I:I,"&lt;900")</f>
        <v>0</v>
      </c>
      <c r="P11" s="135">
        <f>COUNTIFS(veri!J:J,37,veri!I:I,"&gt;=800",veri!I:I,"&lt;900")</f>
        <v>0</v>
      </c>
      <c r="Q11" s="135">
        <f>COUNTIFS(veri!J:J,40,veri!I:I,"&gt;=800",veri!I:I,"&lt;900")</f>
        <v>0</v>
      </c>
      <c r="R11" s="135">
        <f>COUNTIFS(veri!J:J,41,veri!I:I,"&gt;=800",veri!I:I,"&lt;900")</f>
        <v>0</v>
      </c>
      <c r="S11" s="135">
        <f>COUNTIFS(veri!J:J,42,veri!I:I,"&gt;=800",veri!I:I,"&lt;900")</f>
        <v>0</v>
      </c>
      <c r="T11" s="135">
        <f>COUNTIFS(veri!J:J,43,veri!I:I,"&gt;=800",veri!I:I,"&lt;900")</f>
        <v>0</v>
      </c>
      <c r="U11" s="135">
        <f>COUNTIFS(veri!J:J,44,veri!I:I,"&gt;=800",veri!I:I,"&lt;900")</f>
        <v>0</v>
      </c>
      <c r="V11" s="135">
        <f>COUNTIFS(veri!J:J,45,veri!I:I,"&gt;=800",veri!I:I,"&lt;900")</f>
        <v>0</v>
      </c>
      <c r="W11" s="135">
        <f>COUNTIFS(veri!J:J,46,veri!I:I,"&gt;=800",veri!I:I,"&lt;900")</f>
        <v>0</v>
      </c>
      <c r="X11" s="135">
        <f>COUNTIFS(veri!J:J,50,veri!I:I,"&gt;=800",veri!I:I,"&lt;900")</f>
        <v>0</v>
      </c>
      <c r="Y11" s="135">
        <f>COUNTIFS(veri!J:J,51,veri!I:I,"&gt;=800",veri!I:I,"&lt;900")</f>
        <v>0</v>
      </c>
      <c r="Z11" s="135">
        <f>COUNTIFS(veri!J:J,52,veri!I:I,"&gt;=800",veri!I:I,"&lt;900")</f>
        <v>0</v>
      </c>
      <c r="AA11" s="135">
        <f>COUNTIFS(veri!J:J,53,veri!I:I,"&gt;=800",veri!I:I,"&lt;900")</f>
        <v>0</v>
      </c>
      <c r="AB11" s="135">
        <f>COUNTIFS(veri!J:J,54,veri!I:I,"&gt;=800",veri!I:I,"&lt;900")</f>
        <v>0</v>
      </c>
      <c r="AC11" s="135">
        <f>COUNTIFS(veri!J:J,55,veri!I:I,"&gt;=800",veri!I:I,"&lt;900")</f>
        <v>0</v>
      </c>
      <c r="AD11" s="135">
        <f>COUNTIFS(veri!J:J,60,veri!I:I,"&gt;=800",veri!I:I,"&lt;900")</f>
        <v>0</v>
      </c>
      <c r="AE11" s="135">
        <f>COUNTIFS(veri!J:J,70,veri!I:I,"&gt;=800",veri!I:I,"&lt;900")</f>
        <v>0</v>
      </c>
      <c r="AF11" s="135">
        <f>COUNTIFS(veri!J:J,80,veri!I:I,"&gt;=800",veri!I:I,"&lt;900")</f>
        <v>0</v>
      </c>
      <c r="AG11" s="135">
        <f>COUNTIFS(veri!J:J,90,veri!I:I,"&gt;=800",veri!I:I,"&lt;900")</f>
        <v>0</v>
      </c>
      <c r="AH11" s="135">
        <f>COUNTIFS(veri!J:J,99,veri!I:I,"&gt;=800",veri!I:I,"&lt;900")</f>
        <v>0</v>
      </c>
      <c r="AI11" s="60">
        <f t="shared" si="0"/>
        <v>0</v>
      </c>
      <c r="AJ11" s="60">
        <f>COUNTIFS(veri!I:I,"&gt;=800",veri!I:I,"&lt;900",veri!K:K,"&gt;=6000")</f>
        <v>0</v>
      </c>
      <c r="AK11" s="60">
        <f t="shared" si="1"/>
        <v>0</v>
      </c>
      <c r="AL11" s="129">
        <f>IFERROR(AK11/AK24*100,0)</f>
        <v>0</v>
      </c>
      <c r="AM11" s="14"/>
      <c r="AN11" s="14"/>
      <c r="AO11" s="14"/>
      <c r="AP11" s="14"/>
      <c r="AQ11" s="14"/>
      <c r="AR11" s="14"/>
    </row>
    <row r="12" spans="1:44" ht="12.75" customHeight="1" x14ac:dyDescent="0.15">
      <c r="A12" s="59" t="s">
        <v>682</v>
      </c>
      <c r="B12" s="60">
        <f>COUNTIFS(veri!J:J,10,veri!I:I,"&gt;=900",veri!I:I,"&lt;1000")</f>
        <v>0</v>
      </c>
      <c r="C12" s="60">
        <f>COUNTIFS(veri!J:J,11,veri!I:I,"&gt;=900",veri!I:I,"&lt;1000")</f>
        <v>0</v>
      </c>
      <c r="D12" s="60">
        <f>COUNTIFS(veri!J:J,12,veri!I:I,"&gt;=900",veri!I:I,"&lt;1000")</f>
        <v>0</v>
      </c>
      <c r="E12" s="60">
        <f>COUNTIFS(veri!J:J,13,veri!I:I,"&gt;=900",veri!I:I,"&lt;1000")</f>
        <v>0</v>
      </c>
      <c r="F12" s="60">
        <f>COUNTIFS(veri!J:J,14,veri!I:I,"&gt;=900",veri!I:I,"&lt;1000")</f>
        <v>0</v>
      </c>
      <c r="G12" s="60">
        <f>COUNTIFS(veri!J:J,15,veri!I:I,"&gt;=900",veri!I:I,"&lt;1000")</f>
        <v>0</v>
      </c>
      <c r="H12" s="60">
        <f>COUNTIFS(veri!J:J,20,veri!I:I,"&gt;=900",veri!I:I,"&lt;1000")</f>
        <v>0</v>
      </c>
      <c r="I12" s="60">
        <f>COUNTIFS(veri!J:J,30,veri!I:I,"&gt;=900",veri!I:I,"&lt;1000")</f>
        <v>0</v>
      </c>
      <c r="J12" s="60">
        <f>COUNTIFS(veri!J:J,31,veri!I:I,"&gt;=900",veri!I:I,"&lt;1000")</f>
        <v>0</v>
      </c>
      <c r="K12" s="60">
        <f>COUNTIFS(veri!J:J,32,veri!I:I,"&gt;=900",veri!I:I,"&lt;1000")</f>
        <v>0</v>
      </c>
      <c r="L12" s="133">
        <f>COUNTIFS(veri!J:J,33,veri!I:I,"&gt;=900",veri!I:I,"&lt;1000")</f>
        <v>0</v>
      </c>
      <c r="M12" s="60">
        <f>COUNTIFS(veri!J:J,34,veri!I:I,"&gt;=900",veri!I:I,"&lt;1000")</f>
        <v>0</v>
      </c>
      <c r="N12" s="60">
        <f>COUNTIFS(veri!J:J,35,veri!I:I,"&gt;=900",veri!I:I,"&lt;1000")</f>
        <v>0</v>
      </c>
      <c r="O12" s="60">
        <f>COUNTIFS(veri!J:J,36,veri!I:I,"&gt;=900",veri!I:I,"&lt;1000")</f>
        <v>0</v>
      </c>
      <c r="P12" s="60">
        <f>COUNTIFS(veri!J:J,37,veri!I:I,"&gt;=900",veri!I:I,"&lt;1000")</f>
        <v>0</v>
      </c>
      <c r="Q12" s="60">
        <f>COUNTIFS(veri!J:J,40,veri!I:I,"&gt;=900",veri!I:I,"&lt;1000")</f>
        <v>0</v>
      </c>
      <c r="R12" s="60">
        <f>COUNTIFS(veri!J:J,41,veri!I:I,"&gt;=900",veri!I:I,"&lt;1000")</f>
        <v>0</v>
      </c>
      <c r="S12" s="60">
        <f>COUNTIFS(veri!J:J,42,veri!I:I,"&gt;=900",veri!I:I,"&lt;1000")</f>
        <v>0</v>
      </c>
      <c r="T12" s="60">
        <f>COUNTIFS(veri!J:J,43,veri!I:I,"&gt;=900",veri!I:I,"&lt;1000")</f>
        <v>0</v>
      </c>
      <c r="U12" s="60">
        <f>COUNTIFS(veri!J:J,44,veri!I:I,"&gt;=900",veri!I:I,"&lt;1000")</f>
        <v>0</v>
      </c>
      <c r="V12" s="60">
        <f>COUNTIFS(veri!J:J,45,veri!I:I,"&gt;=900",veri!I:I,"&lt;1000")</f>
        <v>0</v>
      </c>
      <c r="W12" s="60">
        <f>COUNTIFS(veri!J:J,46,veri!I:I,"&gt;=900",veri!I:I,"&lt;1000")</f>
        <v>0</v>
      </c>
      <c r="X12" s="60">
        <f>COUNTIFS(veri!J:J,50,veri!I:I,"&gt;=900",veri!I:I,"&lt;1000")</f>
        <v>0</v>
      </c>
      <c r="Y12" s="60">
        <f>COUNTIFS(veri!J:J,51,veri!I:I,"&gt;=900",veri!I:I,"&lt;1000")</f>
        <v>0</v>
      </c>
      <c r="Z12" s="60">
        <f>COUNTIFS(veri!J:J,52,veri!I:I,"&gt;=900",veri!I:I,"&lt;1000")</f>
        <v>0</v>
      </c>
      <c r="AA12" s="60">
        <f>COUNTIFS(veri!J:J,53,veri!I:I,"&gt;=900",veri!I:I,"&lt;1000")</f>
        <v>0</v>
      </c>
      <c r="AB12" s="60">
        <f>COUNTIFS(veri!J:J,54,veri!I:I,"&gt;=900",veri!I:I,"&lt;1000")</f>
        <v>0</v>
      </c>
      <c r="AC12" s="60">
        <f>COUNTIFS(veri!J:J,55,veri!I:I,"&gt;=900",veri!I:I,"&lt;1000")</f>
        <v>0</v>
      </c>
      <c r="AD12" s="60">
        <f>COUNTIFS(veri!J:J,60,veri!I:I,"&gt;=900",veri!I:I,"&lt;1000")</f>
        <v>0</v>
      </c>
      <c r="AE12" s="60">
        <f>COUNTIFS(veri!J:J,70,veri!I:I,"&gt;=900",veri!I:I,"&lt;1000")</f>
        <v>0</v>
      </c>
      <c r="AF12" s="60">
        <f>COUNTIFS(veri!J:J,80,veri!I:I,"&gt;=900",veri!I:I,"&lt;1000")</f>
        <v>0</v>
      </c>
      <c r="AG12" s="60">
        <f>COUNTIFS(veri!J:J,90,veri!I:I,"&gt;=900",veri!I:I,"&lt;1000")</f>
        <v>0</v>
      </c>
      <c r="AH12" s="60">
        <f>COUNTIFS(veri!J:J,99,veri!I:I,"&gt;=900",veri!I:I,"&lt;1000")</f>
        <v>0</v>
      </c>
      <c r="AI12" s="60">
        <f t="shared" si="0"/>
        <v>0</v>
      </c>
      <c r="AJ12" s="60">
        <f>COUNTIFS(veri!I:I,"&gt;=900",veri!I:I,"&lt;1000",veri!K:K,"&gt;=6000")</f>
        <v>0</v>
      </c>
      <c r="AK12" s="60">
        <f t="shared" si="1"/>
        <v>0</v>
      </c>
      <c r="AL12" s="129">
        <f>IFERROR(AK12/AK24*100,0)</f>
        <v>0</v>
      </c>
      <c r="AM12" s="14"/>
      <c r="AN12" s="14"/>
      <c r="AO12" s="14"/>
      <c r="AP12" s="14"/>
      <c r="AQ12" s="14"/>
      <c r="AR12" s="14"/>
    </row>
    <row r="13" spans="1:44" ht="12.75" customHeight="1" x14ac:dyDescent="0.15">
      <c r="A13" s="134" t="s">
        <v>893</v>
      </c>
      <c r="B13" s="135">
        <f>COUNTIFS(veri!J:J,10,veri!I:I,"&gt;=1000",veri!I:I,"&lt;1100")</f>
        <v>0</v>
      </c>
      <c r="C13" s="135">
        <f>COUNTIFS(veri!J:J,11,veri!I:I,"&gt;=1000",veri!I:I,"&lt;1100")</f>
        <v>0</v>
      </c>
      <c r="D13" s="135">
        <f>COUNTIFS(veri!J:J,12,veri!I:I,"&gt;=1000",veri!I:I,"&lt;1100")</f>
        <v>0</v>
      </c>
      <c r="E13" s="135">
        <f>COUNTIFS(veri!J:J,13,veri!I:I,"&gt;=1000",veri!I:I,"&lt;1100")</f>
        <v>0</v>
      </c>
      <c r="F13" s="135">
        <f>COUNTIFS(veri!J:J,14,veri!I:I,"&gt;=1000",veri!I:I,"&lt;1100")</f>
        <v>0</v>
      </c>
      <c r="G13" s="135">
        <f>COUNTIFS(veri!J:J,15,veri!I:I,"&gt;=1000",veri!I:I,"&lt;1100")</f>
        <v>0</v>
      </c>
      <c r="H13" s="135">
        <f>COUNTIFS(veri!J:J,20,veri!I:I,"&gt;=1000",veri!I:I,"&lt;1100")</f>
        <v>0</v>
      </c>
      <c r="I13" s="135">
        <f>COUNTIFS(veri!J:J,30,veri!I:I,"&gt;=1000",veri!I:I,"&lt;1100")</f>
        <v>0</v>
      </c>
      <c r="J13" s="135">
        <f>COUNTIFS(veri!J:J,31,veri!I:I,"&gt;=1000",veri!I:I,"&lt;1100")</f>
        <v>0</v>
      </c>
      <c r="K13" s="135">
        <f>COUNTIFS(veri!J:J,32,veri!I:I,"&gt;=1000",veri!I:I,"&lt;1100")</f>
        <v>0</v>
      </c>
      <c r="L13" s="136">
        <f>COUNTIFS(veri!J:J,33,veri!I:I,"&gt;=1000",veri!I:I,"&lt;1100")</f>
        <v>0</v>
      </c>
      <c r="M13" s="135">
        <f>COUNTIFS(veri!J:J,34,veri!I:I,"&gt;=1000",veri!I:I,"&lt;1100")</f>
        <v>0</v>
      </c>
      <c r="N13" s="135">
        <f>COUNTIFS(veri!J:J,35,veri!I:I,"&gt;=1000",veri!I:I,"&lt;1100")</f>
        <v>0</v>
      </c>
      <c r="O13" s="135">
        <f>COUNTIFS(veri!J:J,36,veri!I:I,"&gt;=1000",veri!I:I,"&lt;1100")</f>
        <v>0</v>
      </c>
      <c r="P13" s="135">
        <f>COUNTIFS(veri!J:J,37,veri!I:I,"&gt;=1000",veri!I:I,"&lt;1100")</f>
        <v>0</v>
      </c>
      <c r="Q13" s="135">
        <f>COUNTIFS(veri!J:J,40,veri!I:I,"&gt;=1000",veri!I:I,"&lt;1100")</f>
        <v>0</v>
      </c>
      <c r="R13" s="135">
        <f>COUNTIFS(veri!J:J,41,veri!I:I,"&gt;=1000",veri!I:I,"&lt;1100")</f>
        <v>0</v>
      </c>
      <c r="S13" s="135">
        <f>COUNTIFS(veri!J:J,42,veri!I:I,"&gt;=1000",veri!I:I,"&lt;1100")</f>
        <v>0</v>
      </c>
      <c r="T13" s="135">
        <f>COUNTIFS(veri!J:J,43,veri!I:I,"&gt;=1000",veri!I:I,"&lt;1100")</f>
        <v>0</v>
      </c>
      <c r="U13" s="135">
        <f>COUNTIFS(veri!J:J,44,veri!I:I,"&gt;=1000",veri!I:I,"&lt;1100")</f>
        <v>0</v>
      </c>
      <c r="V13" s="135">
        <f>COUNTIFS(veri!J:J,45,veri!I:I,"&gt;=1000",veri!I:I,"&lt;1100")</f>
        <v>0</v>
      </c>
      <c r="W13" s="135">
        <f>COUNTIFS(veri!J:J,46,veri!I:I,"&gt;=1000",veri!I:I,"&lt;1100")</f>
        <v>0</v>
      </c>
      <c r="X13" s="135">
        <f>COUNTIFS(veri!J:J,50,veri!I:I,"&gt;=1000",veri!I:I,"&lt;1100")</f>
        <v>0</v>
      </c>
      <c r="Y13" s="135">
        <f>COUNTIFS(veri!J:J,51,veri!I:I,"&gt;=1000",veri!I:I,"&lt;1100")</f>
        <v>0</v>
      </c>
      <c r="Z13" s="135">
        <f>COUNTIFS(veri!J:J,52,veri!I:I,"&gt;=1000",veri!I:I,"&lt;1100")</f>
        <v>0</v>
      </c>
      <c r="AA13" s="135">
        <f>COUNTIFS(veri!J:J,53,veri!I:I,"&gt;=1000",veri!I:I,"&lt;1100")</f>
        <v>0</v>
      </c>
      <c r="AB13" s="135">
        <f>COUNTIFS(veri!J:J,54,veri!I:I,"&gt;=1000",veri!I:I,"&lt;1100")</f>
        <v>0</v>
      </c>
      <c r="AC13" s="135">
        <f>COUNTIFS(veri!J:J,55,veri!I:I,"&gt;=1000",veri!I:I,"&lt;1100")</f>
        <v>0</v>
      </c>
      <c r="AD13" s="135">
        <f>COUNTIFS(veri!J:J,60,veri!I:I,"&gt;=1000",veri!I:I,"&lt;1100")</f>
        <v>0</v>
      </c>
      <c r="AE13" s="135">
        <f>COUNTIFS(veri!J:J,70,veri!I:I,"&gt;=1000",veri!I:I,"&lt;1100")</f>
        <v>0</v>
      </c>
      <c r="AF13" s="135">
        <f>COUNTIFS(veri!J:J,80,veri!I:I,"&gt;=1000",veri!I:I,"&lt;1100")</f>
        <v>0</v>
      </c>
      <c r="AG13" s="135">
        <f>COUNTIFS(veri!J:J,90,veri!I:I,"&gt;=1000",veri!I:I,"&lt;1100")</f>
        <v>0</v>
      </c>
      <c r="AH13" s="135">
        <f>COUNTIFS(veri!J:J,99,veri!I:I,"&gt;=1000",veri!I:I,"&lt;1100")</f>
        <v>0</v>
      </c>
      <c r="AI13" s="60">
        <f t="shared" si="0"/>
        <v>0</v>
      </c>
      <c r="AJ13" s="60">
        <f>COUNTIFS(veri!I:I,"&gt;=1000",veri!I:I,"&lt;1100",veri!K:K,"&gt;=6000")</f>
        <v>0</v>
      </c>
      <c r="AK13" s="60">
        <f t="shared" si="1"/>
        <v>0</v>
      </c>
      <c r="AL13" s="129">
        <f>IFERROR(AK13/AK24*100,0)</f>
        <v>0</v>
      </c>
      <c r="AM13" s="14"/>
      <c r="AN13" s="14"/>
      <c r="AO13" s="14"/>
      <c r="AP13" s="14"/>
      <c r="AQ13" s="14"/>
      <c r="AR13" s="14"/>
    </row>
    <row r="14" spans="1:44" ht="12.75" customHeight="1" x14ac:dyDescent="0.15">
      <c r="A14" s="59" t="s">
        <v>684</v>
      </c>
      <c r="B14" s="60">
        <f>COUNTIFS(veri!J:J,10,veri!I:I,"&gt;=1100",veri!I:I,"&lt;1200")</f>
        <v>0</v>
      </c>
      <c r="C14" s="60">
        <f>COUNTIFS(veri!J:J,11,veri!I:I,"&gt;=1100",veri!I:I,"&lt;1200")</f>
        <v>0</v>
      </c>
      <c r="D14" s="60">
        <f>COUNTIFS(veri!J:J,12,veri!I:I,"&gt;=1100",veri!I:I,"&lt;1200")</f>
        <v>0</v>
      </c>
      <c r="E14" s="60">
        <f>COUNTIFS(veri!J:J,13,veri!I:I,"&gt;=1100",veri!I:I,"&lt;1200")</f>
        <v>0</v>
      </c>
      <c r="F14" s="60">
        <f>COUNTIFS(veri!J:J,14,veri!I:I,"&gt;=1100",veri!I:I,"&lt;1200")</f>
        <v>0</v>
      </c>
      <c r="G14" s="60">
        <f>COUNTIFS(veri!J:J,15,veri!I:I,"&gt;=1100",veri!I:I,"&lt;1200")</f>
        <v>0</v>
      </c>
      <c r="H14" s="60">
        <f>COUNTIFS(veri!J:J,20,veri!I:I,"&gt;=1100",veri!I:I,"&lt;1200")</f>
        <v>0</v>
      </c>
      <c r="I14" s="60">
        <f>COUNTIFS(veri!J:J,30,veri!I:I,"&gt;=1100",veri!I:I,"&lt;1200")</f>
        <v>0</v>
      </c>
      <c r="J14" s="60">
        <f>COUNTIFS(veri!J:J,31,veri!I:I,"&gt;=1100",veri!I:I,"&lt;1200")</f>
        <v>0</v>
      </c>
      <c r="K14" s="60">
        <f>COUNTIFS(veri!J:J,32,veri!I:I,"&gt;=1100",veri!I:I,"&lt;1200")</f>
        <v>0</v>
      </c>
      <c r="L14" s="133">
        <f>COUNTIFS(veri!J:J,33,veri!I:I,"&gt;=1100",veri!I:I,"&lt;1200")</f>
        <v>0</v>
      </c>
      <c r="M14" s="60">
        <f>COUNTIFS(veri!J:J,34,veri!I:I,"&gt;=1100",veri!I:I,"&lt;1200")</f>
        <v>0</v>
      </c>
      <c r="N14" s="60">
        <f>COUNTIFS(veri!J:J,35,veri!I:I,"&gt;=1100",veri!I:I,"&lt;1200")</f>
        <v>0</v>
      </c>
      <c r="O14" s="60">
        <f>COUNTIFS(veri!J:J,36,veri!I:I,"&gt;=1100",veri!I:I,"&lt;1200")</f>
        <v>0</v>
      </c>
      <c r="P14" s="60">
        <f>COUNTIFS(veri!J:J,37,veri!I:I,"&gt;=1100",veri!I:I,"&lt;1200")</f>
        <v>0</v>
      </c>
      <c r="Q14" s="60">
        <f>COUNTIFS(veri!J:J,40,veri!I:I,"&gt;=1100",veri!I:I,"&lt;1200")</f>
        <v>0</v>
      </c>
      <c r="R14" s="60">
        <f>COUNTIFS(veri!J:J,41,veri!I:I,"&gt;=1100",veri!I:I,"&lt;1200")</f>
        <v>0</v>
      </c>
      <c r="S14" s="60">
        <f>COUNTIFS(veri!J:J,42,veri!I:I,"&gt;=1100",veri!I:I,"&lt;1200")</f>
        <v>0</v>
      </c>
      <c r="T14" s="60">
        <f>COUNTIFS(veri!J:J,43,veri!I:I,"&gt;=1100",veri!I:I,"&lt;1200")</f>
        <v>0</v>
      </c>
      <c r="U14" s="60">
        <f>COUNTIFS(veri!J:J,44,veri!I:I,"&gt;=1100",veri!I:I,"&lt;1200")</f>
        <v>0</v>
      </c>
      <c r="V14" s="60">
        <f>COUNTIFS(veri!J:J,45,veri!I:I,"&gt;=1100",veri!I:I,"&lt;1200")</f>
        <v>0</v>
      </c>
      <c r="W14" s="60">
        <f>COUNTIFS(veri!J:J,46,veri!I:I,"&gt;=1100",veri!I:I,"&lt;1200")</f>
        <v>0</v>
      </c>
      <c r="X14" s="60">
        <f>COUNTIFS(veri!J:J,50,veri!I:I,"&gt;=1100",veri!I:I,"&lt;1200")</f>
        <v>0</v>
      </c>
      <c r="Y14" s="60">
        <f>COUNTIFS(veri!J:J,51,veri!I:I,"&gt;=1100",veri!I:I,"&lt;1200")</f>
        <v>0</v>
      </c>
      <c r="Z14" s="60">
        <f>COUNTIFS(veri!J:J,52,veri!I:I,"&gt;=1100",veri!I:I,"&lt;1200")</f>
        <v>0</v>
      </c>
      <c r="AA14" s="60">
        <f>COUNTIFS(veri!J:J,53,veri!I:I,"&gt;=1100",veri!I:I,"&lt;1200")</f>
        <v>0</v>
      </c>
      <c r="AB14" s="60">
        <f>COUNTIFS(veri!J:J,54,veri!I:I,"&gt;=1100",veri!I:I,"&lt;1200")</f>
        <v>0</v>
      </c>
      <c r="AC14" s="60">
        <f>COUNTIFS(veri!J:J,55,veri!I:I,"&gt;=1100",veri!I:I,"&lt;1200")</f>
        <v>0</v>
      </c>
      <c r="AD14" s="60">
        <f>COUNTIFS(veri!J:J,60,veri!I:I,"&gt;=1100",veri!I:I,"&lt;1200")</f>
        <v>0</v>
      </c>
      <c r="AE14" s="60">
        <f>COUNTIFS(veri!J:J,70,veri!I:I,"&gt;=1100",veri!I:I,"&lt;1200")</f>
        <v>0</v>
      </c>
      <c r="AF14" s="60">
        <f>COUNTIFS(veri!J:J,80,veri!I:I,"&gt;=1100",veri!I:I,"&lt;1200")</f>
        <v>0</v>
      </c>
      <c r="AG14" s="60">
        <f>COUNTIFS(veri!J:J,90,veri!I:I,"&gt;=1100",veri!I:I,"&lt;1200")</f>
        <v>0</v>
      </c>
      <c r="AH14" s="60">
        <f>COUNTIFS(veri!J:J,99,veri!I:I,"&gt;=1100",veri!I:I,"&lt;1200")</f>
        <v>2</v>
      </c>
      <c r="AI14" s="60">
        <f t="shared" si="0"/>
        <v>2</v>
      </c>
      <c r="AJ14" s="60">
        <f>COUNTIFS(veri!I:I,"&gt;=1100",veri!I:I,"&lt;1200",veri!K:K,"&gt;=6000")</f>
        <v>0</v>
      </c>
      <c r="AK14" s="60">
        <f t="shared" si="1"/>
        <v>2</v>
      </c>
      <c r="AL14" s="129">
        <f>IFERROR(AK14/AK24*100,0)</f>
        <v>0</v>
      </c>
      <c r="AM14" s="14"/>
      <c r="AN14" s="14"/>
      <c r="AO14" s="14"/>
      <c r="AP14" s="14"/>
      <c r="AQ14" s="14"/>
      <c r="AR14" s="14"/>
    </row>
    <row r="15" spans="1:44" ht="12.75" customHeight="1" x14ac:dyDescent="0.15">
      <c r="A15" s="134" t="s">
        <v>894</v>
      </c>
      <c r="B15" s="135">
        <f>COUNTIFS(veri!J:J,10,veri!I:I,"&gt;=1200",veri!I:I,"&lt;1300")</f>
        <v>0</v>
      </c>
      <c r="C15" s="135">
        <f>COUNTIFS(veri!J:J,11,veri!I:I,"&gt;=1200",veri!I:I,"&lt;1300")</f>
        <v>0</v>
      </c>
      <c r="D15" s="135">
        <f>COUNTIFS(veri!J:J,12,veri!I:I,"&gt;=1200",veri!I:I,"&lt;1300")</f>
        <v>0</v>
      </c>
      <c r="E15" s="135">
        <f>COUNTIFS(veri!J:J,13,veri!I:I,"&gt;=1200",veri!I:I,"&lt;1300")</f>
        <v>0</v>
      </c>
      <c r="F15" s="135">
        <f>COUNTIFS(veri!J:J,14,veri!I:I,"&gt;=1200",veri!I:I,"&lt;1300")</f>
        <v>0</v>
      </c>
      <c r="G15" s="135">
        <f>COUNTIFS(veri!J:J,15,veri!I:I,"&gt;=1200",veri!I:I,"&lt;1300")</f>
        <v>0</v>
      </c>
      <c r="H15" s="135">
        <f>COUNTIFS(veri!J:J,20,veri!I:I,"&gt;=1200",veri!I:I,"&lt;1300")</f>
        <v>0</v>
      </c>
      <c r="I15" s="135">
        <f>COUNTIFS(veri!J:J,30,veri!I:I,"&gt;=1200",veri!I:I,"&lt;1300")</f>
        <v>0</v>
      </c>
      <c r="J15" s="135">
        <f>COUNTIFS(veri!J:J,31,veri!I:I,"&gt;=1200",veri!I:I,"&lt;1300")</f>
        <v>0</v>
      </c>
      <c r="K15" s="135">
        <f>COUNTIFS(veri!J:J,32,veri!I:I,"&gt;=1200",veri!I:I,"&lt;1300")</f>
        <v>0</v>
      </c>
      <c r="L15" s="136">
        <f>COUNTIFS(veri!J:J,33,veri!I:I,"&gt;=1200",veri!I:I,"&lt;1300")</f>
        <v>0</v>
      </c>
      <c r="M15" s="135">
        <f>COUNTIFS(veri!J:J,34,veri!I:I,"&gt;=1200",veri!I:I,"&lt;1300")</f>
        <v>0</v>
      </c>
      <c r="N15" s="135">
        <f>COUNTIFS(veri!J:J,35,veri!I:I,"&gt;=1200",veri!I:I,"&lt;1300")</f>
        <v>0</v>
      </c>
      <c r="O15" s="135">
        <f>COUNTIFS(veri!J:J,36,veri!I:I,"&gt;=1200",veri!I:I,"&lt;1300")</f>
        <v>0</v>
      </c>
      <c r="P15" s="135">
        <f>COUNTIFS(veri!J:J,37,veri!I:I,"&gt;=1200",veri!I:I,"&lt;1300")</f>
        <v>0</v>
      </c>
      <c r="Q15" s="135">
        <f>COUNTIFS(veri!J:J,40,veri!I:I,"&gt;=1200",veri!I:I,"&lt;1300")</f>
        <v>0</v>
      </c>
      <c r="R15" s="135">
        <f>COUNTIFS(veri!J:J,41,veri!I:I,"&gt;=1200",veri!I:I,"&lt;1300")</f>
        <v>0</v>
      </c>
      <c r="S15" s="135">
        <f>COUNTIFS(veri!J:J,42,veri!I:I,"&gt;=1200",veri!I:I,"&lt;1300")</f>
        <v>0</v>
      </c>
      <c r="T15" s="135">
        <f>COUNTIFS(veri!J:J,43,veri!I:I,"&gt;=1200",veri!I:I,"&lt;1300")</f>
        <v>0</v>
      </c>
      <c r="U15" s="135">
        <f>COUNTIFS(veri!J:J,44,veri!I:I,"&gt;=1200",veri!I:I,"&lt;1300")</f>
        <v>0</v>
      </c>
      <c r="V15" s="135">
        <f>COUNTIFS(veri!J:J,45,veri!I:I,"&gt;=1200",veri!I:I,"&lt;1300")</f>
        <v>0</v>
      </c>
      <c r="W15" s="135">
        <f>COUNTIFS(veri!J:J,46,veri!I:I,"&gt;=1200",veri!I:I,"&lt;1300")</f>
        <v>0</v>
      </c>
      <c r="X15" s="135">
        <f>COUNTIFS(veri!J:J,50,veri!I:I,"&gt;=1200",veri!I:I,"&lt;1300")</f>
        <v>0</v>
      </c>
      <c r="Y15" s="135">
        <f>COUNTIFS(veri!J:J,51,veri!I:I,"&gt;=1200",veri!I:I,"&lt;1300")</f>
        <v>0</v>
      </c>
      <c r="Z15" s="135">
        <f>COUNTIFS(veri!J:J,52,veri!I:I,"&gt;=1200",veri!I:I,"&lt;1300")</f>
        <v>0</v>
      </c>
      <c r="AA15" s="135">
        <f>COUNTIFS(veri!J:J,53,veri!I:I,"&gt;=1200",veri!I:I,"&lt;1300")</f>
        <v>0</v>
      </c>
      <c r="AB15" s="135">
        <f>COUNTIFS(veri!J:J,54,veri!I:I,"&gt;=1200",veri!I:I,"&lt;1300")</f>
        <v>0</v>
      </c>
      <c r="AC15" s="135">
        <f>COUNTIFS(veri!J:J,55,veri!I:I,"&gt;=1200",veri!I:I,"&lt;1300")</f>
        <v>0</v>
      </c>
      <c r="AD15" s="135">
        <f>COUNTIFS(veri!J:J,60,veri!I:I,"&gt;=1200",veri!I:I,"&lt;1300")</f>
        <v>0</v>
      </c>
      <c r="AE15" s="135">
        <f>COUNTIFS(veri!J:J,70,veri!I:I,"&gt;=1200",veri!I:I,"&lt;1300")</f>
        <v>0</v>
      </c>
      <c r="AF15" s="135">
        <f>COUNTIFS(veri!J:J,80,veri!I:I,"&gt;=1200",veri!I:I,"&lt;1300")</f>
        <v>0</v>
      </c>
      <c r="AG15" s="135">
        <f>COUNTIFS(veri!J:J,90,veri!I:I,"&gt;=1200",veri!I:I,"&lt;1300")</f>
        <v>0</v>
      </c>
      <c r="AH15" s="135">
        <f>COUNTIFS(veri!J:J,99,veri!I:I,"&gt;=1200",veri!I:I,"&lt;1300")</f>
        <v>0</v>
      </c>
      <c r="AI15" s="60">
        <f t="shared" si="0"/>
        <v>0</v>
      </c>
      <c r="AJ15" s="60">
        <f>COUNTIFS(veri!I:I,"&gt;=1200",veri!I:I,"&lt;1300",veri!K:K,"&gt;=6000")</f>
        <v>0</v>
      </c>
      <c r="AK15" s="60">
        <f t="shared" si="1"/>
        <v>0</v>
      </c>
      <c r="AL15" s="129">
        <f>IFERROR(AK15/AK24*100,0)</f>
        <v>0</v>
      </c>
      <c r="AM15" s="14"/>
      <c r="AN15" s="14"/>
      <c r="AO15" s="14"/>
      <c r="AP15" s="14"/>
      <c r="AQ15" s="14"/>
      <c r="AR15" s="14"/>
    </row>
    <row r="16" spans="1:44" ht="12.75" customHeight="1" x14ac:dyDescent="0.15">
      <c r="A16" s="59" t="s">
        <v>895</v>
      </c>
      <c r="B16" s="60">
        <f>COUNTIFS(veri!J:J,10,veri!I:I,"&gt;=1300",veri!I:I,"&lt;1400")</f>
        <v>0</v>
      </c>
      <c r="C16" s="60">
        <f>COUNTIFS(veri!J:J,11,veri!I:I,"&gt;=1300",veri!I:I,"&lt;1400")</f>
        <v>0</v>
      </c>
      <c r="D16" s="60">
        <f>COUNTIFS(veri!J:J,12,veri!I:I,"&gt;=1300",veri!I:I,"&lt;1400")</f>
        <v>0</v>
      </c>
      <c r="E16" s="60">
        <f>COUNTIFS(veri!J:J,13,veri!I:I,"&gt;=1300",veri!I:I,"&lt;1400")</f>
        <v>0</v>
      </c>
      <c r="F16" s="60">
        <f>COUNTIFS(veri!J:J,14,veri!I:I,"&gt;=1300",veri!I:I,"&lt;1400")</f>
        <v>0</v>
      </c>
      <c r="G16" s="60">
        <f>COUNTIFS(veri!J:J,15,veri!I:I,"&gt;=1300",veri!I:I,"&lt;1400")</f>
        <v>0</v>
      </c>
      <c r="H16" s="60">
        <f>COUNTIFS(veri!J:J,20,veri!I:I,"&gt;=1300",veri!I:I,"&lt;1400")</f>
        <v>0</v>
      </c>
      <c r="I16" s="60">
        <f>COUNTIFS(veri!J:J,30,veri!I:I,"&gt;=1300",veri!I:I,"&lt;1400")</f>
        <v>0</v>
      </c>
      <c r="J16" s="60">
        <f>COUNTIFS(veri!J:J,31,veri!I:I,"&gt;=1300",veri!I:I,"&lt;1400")</f>
        <v>0</v>
      </c>
      <c r="K16" s="60">
        <f>COUNTIFS(veri!J:J,32,veri!I:I,"&gt;=1300",veri!I:I,"&lt;1400")</f>
        <v>0</v>
      </c>
      <c r="L16" s="133">
        <f>COUNTIFS(veri!J:J,33,veri!I:I,"&gt;=1300",veri!I:I,"&lt;1400")</f>
        <v>0</v>
      </c>
      <c r="M16" s="60">
        <f>COUNTIFS(veri!J:J,34,veri!I:I,"&gt;=1300",veri!I:I,"&lt;1400")</f>
        <v>0</v>
      </c>
      <c r="N16" s="60">
        <f>COUNTIFS(veri!J:J,35,veri!I:I,"&gt;=1300",veri!I:I,"&lt;1400")</f>
        <v>0</v>
      </c>
      <c r="O16" s="60">
        <f>COUNTIFS(veri!J:J,36,veri!I:I,"&gt;=1300",veri!I:I,"&lt;1400")</f>
        <v>0</v>
      </c>
      <c r="P16" s="60">
        <f>COUNTIFS(veri!J:J,37,veri!I:I,"&gt;=1300",veri!I:I,"&lt;1400")</f>
        <v>0</v>
      </c>
      <c r="Q16" s="60">
        <f>COUNTIFS(veri!J:J,40,veri!I:I,"&gt;=1300",veri!I:I,"&lt;1400")</f>
        <v>0</v>
      </c>
      <c r="R16" s="60">
        <f>COUNTIFS(veri!J:J,41,veri!I:I,"&gt;=1300",veri!I:I,"&lt;1400")</f>
        <v>0</v>
      </c>
      <c r="S16" s="60">
        <f>COUNTIFS(veri!J:J,42,veri!I:I,"&gt;=1300",veri!I:I,"&lt;1400")</f>
        <v>0</v>
      </c>
      <c r="T16" s="60">
        <f>COUNTIFS(veri!J:J,43,veri!I:I,"&gt;=1300",veri!I:I,"&lt;1400")</f>
        <v>0</v>
      </c>
      <c r="U16" s="60">
        <f>COUNTIFS(veri!J:J,44,veri!I:I,"&gt;=1300",veri!I:I,"&lt;1400")</f>
        <v>0</v>
      </c>
      <c r="V16" s="60">
        <f>COUNTIFS(veri!J:J,45,veri!I:I,"&gt;=1300",veri!I:I,"&lt;1400")</f>
        <v>0</v>
      </c>
      <c r="W16" s="60">
        <f>COUNTIFS(veri!J:J,46,veri!I:I,"&gt;=1300",veri!I:I,"&lt;1400")</f>
        <v>0</v>
      </c>
      <c r="X16" s="60">
        <f>COUNTIFS(veri!J:J,50,veri!I:I,"&gt;=1300",veri!I:I,"&lt;1400")</f>
        <v>0</v>
      </c>
      <c r="Y16" s="60">
        <f>COUNTIFS(veri!J:J,51,veri!I:I,"&gt;=1300",veri!I:I,"&lt;1400")</f>
        <v>0</v>
      </c>
      <c r="Z16" s="60">
        <f>COUNTIFS(veri!J:J,52,veri!I:I,"&gt;=1300",veri!I:I,"&lt;1400")</f>
        <v>0</v>
      </c>
      <c r="AA16" s="60">
        <f>COUNTIFS(veri!J:J,53,veri!I:I,"&gt;=1300",veri!I:I,"&lt;1400")</f>
        <v>0</v>
      </c>
      <c r="AB16" s="60">
        <f>COUNTIFS(veri!J:J,54,veri!I:I,"&gt;=1300",veri!I:I,"&lt;1400")</f>
        <v>0</v>
      </c>
      <c r="AC16" s="60">
        <f>COUNTIFS(veri!J:J,55,veri!I:I,"&gt;=1300",veri!I:I,"&lt;1400")</f>
        <v>0</v>
      </c>
      <c r="AD16" s="60">
        <f>COUNTIFS(veri!J:J,60,veri!I:I,"&gt;=1300",veri!I:I,"&lt;1400")</f>
        <v>0</v>
      </c>
      <c r="AE16" s="60">
        <f>COUNTIFS(veri!J:J,70,veri!I:I,"&gt;=1300",veri!I:I,"&lt;1400")</f>
        <v>0</v>
      </c>
      <c r="AF16" s="60">
        <f>COUNTIFS(veri!J:J,80,veri!I:I,"&gt;=1300",veri!I:I,"&lt;1400")</f>
        <v>0</v>
      </c>
      <c r="AG16" s="60">
        <f>COUNTIFS(veri!J:J,90,veri!I:I,"&gt;=1300",veri!I:I,"&lt;1400")</f>
        <v>0</v>
      </c>
      <c r="AH16" s="60">
        <f>COUNTIFS(veri!J:J,99,veri!I:I,"&gt;=1300",veri!I:I,"&lt;1400")</f>
        <v>0</v>
      </c>
      <c r="AI16" s="60">
        <f t="shared" si="0"/>
        <v>0</v>
      </c>
      <c r="AJ16" s="60">
        <f>COUNTIFS(veri!I:I,"&gt;=1300",veri!I:I,"&lt;1400",veri!K:K,"&gt;=6000")</f>
        <v>0</v>
      </c>
      <c r="AK16" s="60">
        <f t="shared" si="1"/>
        <v>0</v>
      </c>
      <c r="AL16" s="129">
        <f>IFERROR(AK16/AK24*100,0)</f>
        <v>0</v>
      </c>
      <c r="AM16" s="14"/>
      <c r="AN16" s="14"/>
      <c r="AO16" s="14"/>
      <c r="AP16" s="14"/>
      <c r="AQ16" s="14"/>
      <c r="AR16" s="14"/>
    </row>
    <row r="17" spans="1:44" ht="12.75" customHeight="1" x14ac:dyDescent="0.15">
      <c r="A17" s="134" t="s">
        <v>896</v>
      </c>
      <c r="B17" s="135">
        <f>COUNTIFS(veri!J:J,10,veri!I:I,"&gt;=1400",veri!I:I,"&lt;1500")</f>
        <v>0</v>
      </c>
      <c r="C17" s="135">
        <f>COUNTIFS(veri!J:J,11,veri!I:I,"&gt;=1400",veri!I:I,"&lt;1500")</f>
        <v>0</v>
      </c>
      <c r="D17" s="135">
        <f>COUNTIFS(veri!J:J,12,veri!I:I,"&gt;=1400",veri!I:I,"&lt;1500")</f>
        <v>0</v>
      </c>
      <c r="E17" s="135">
        <f>COUNTIFS(veri!J:J,13,veri!I:I,"&gt;=1400",veri!I:I,"&lt;1500")</f>
        <v>0</v>
      </c>
      <c r="F17" s="135">
        <f>COUNTIFS(veri!J:J,14,veri!I:I,"&gt;=1400",veri!I:I,"&lt;1500")</f>
        <v>0</v>
      </c>
      <c r="G17" s="135">
        <f>COUNTIFS(veri!J:J,15,veri!I:I,"&gt;=1400",veri!I:I,"&lt;1500")</f>
        <v>0</v>
      </c>
      <c r="H17" s="135">
        <f>COUNTIFS(veri!J:J,20,veri!I:I,"&gt;=1400",veri!I:I,"&lt;1500")</f>
        <v>0</v>
      </c>
      <c r="I17" s="135">
        <f>COUNTIFS(veri!J:J,30,veri!I:I,"&gt;=1400",veri!I:I,"&lt;1500")</f>
        <v>0</v>
      </c>
      <c r="J17" s="135">
        <f>COUNTIFS(veri!J:J,31,veri!I:I,"&gt;=1400",veri!I:I,"&lt;1500")</f>
        <v>0</v>
      </c>
      <c r="K17" s="135">
        <f>COUNTIFS(veri!J:J,32,veri!I:I,"&gt;=1400",veri!I:I,"&lt;1500")</f>
        <v>0</v>
      </c>
      <c r="L17" s="136">
        <f>COUNTIFS(veri!J:J,33,veri!I:I,"&gt;=1400",veri!I:I,"&lt;1500")</f>
        <v>0</v>
      </c>
      <c r="M17" s="135">
        <f>COUNTIFS(veri!J:J,34,veri!I:I,"&gt;=1400",veri!I:I,"&lt;1500")</f>
        <v>0</v>
      </c>
      <c r="N17" s="135">
        <f>COUNTIFS(veri!J:J,35,veri!I:I,"&gt;=1400",veri!I:I,"&lt;1500")</f>
        <v>0</v>
      </c>
      <c r="O17" s="135">
        <f>COUNTIFS(veri!J:J,36,veri!I:I,"&gt;=1400",veri!I:I,"&lt;1500")</f>
        <v>0</v>
      </c>
      <c r="P17" s="135">
        <f>COUNTIFS(veri!J:J,37,veri!I:I,"&gt;=1400",veri!I:I,"&lt;1500")</f>
        <v>0</v>
      </c>
      <c r="Q17" s="135">
        <f>COUNTIFS(veri!J:J,40,veri!I:I,"&gt;=1400",veri!I:I,"&lt;1500")</f>
        <v>0</v>
      </c>
      <c r="R17" s="135">
        <f>COUNTIFS(veri!J:J,41,veri!I:I,"&gt;=1400",veri!I:I,"&lt;1500")</f>
        <v>0</v>
      </c>
      <c r="S17" s="135">
        <f>COUNTIFS(veri!J:J,42,veri!I:I,"&gt;=1400",veri!I:I,"&lt;1500")</f>
        <v>0</v>
      </c>
      <c r="T17" s="135">
        <f>COUNTIFS(veri!J:J,43,veri!I:I,"&gt;=1400",veri!I:I,"&lt;1500")</f>
        <v>0</v>
      </c>
      <c r="U17" s="135">
        <f>COUNTIFS(veri!J:J,44,veri!I:I,"&gt;=1400",veri!I:I,"&lt;1500")</f>
        <v>0</v>
      </c>
      <c r="V17" s="135">
        <f>COUNTIFS(veri!J:J,45,veri!I:I,"&gt;=1400",veri!I:I,"&lt;1500")</f>
        <v>0</v>
      </c>
      <c r="W17" s="135">
        <f>COUNTIFS(veri!J:J,46,veri!I:I,"&gt;=1400",veri!I:I,"&lt;1500")</f>
        <v>0</v>
      </c>
      <c r="X17" s="135">
        <f>COUNTIFS(veri!J:J,50,veri!I:I,"&gt;=1400",veri!I:I,"&lt;1500")</f>
        <v>0</v>
      </c>
      <c r="Y17" s="135">
        <f>COUNTIFS(veri!J:J,51,veri!I:I,"&gt;=1400",veri!I:I,"&lt;1500")</f>
        <v>0</v>
      </c>
      <c r="Z17" s="135">
        <f>COUNTIFS(veri!J:J,52,veri!I:I,"&gt;=1400",veri!I:I,"&lt;1500")</f>
        <v>0</v>
      </c>
      <c r="AA17" s="135">
        <f>COUNTIFS(veri!J:J,53,veri!I:I,"&gt;=1400",veri!I:I,"&lt;1500")</f>
        <v>0</v>
      </c>
      <c r="AB17" s="135">
        <f>COUNTIFS(veri!J:J,54,veri!I:I,"&gt;=1400",veri!I:I,"&lt;1500")</f>
        <v>0</v>
      </c>
      <c r="AC17" s="135">
        <f>COUNTIFS(veri!J:J,55,veri!I:I,"&gt;=1400",veri!I:I,"&lt;1500")</f>
        <v>0</v>
      </c>
      <c r="AD17" s="135">
        <f>COUNTIFS(veri!J:J,60,veri!I:I,"&gt;=1400",veri!I:I,"&lt;1500")</f>
        <v>0</v>
      </c>
      <c r="AE17" s="135">
        <f>COUNTIFS(veri!J:J,70,veri!I:I,"&gt;=1400",veri!I:I,"&lt;1500")</f>
        <v>0</v>
      </c>
      <c r="AF17" s="135">
        <f>COUNTIFS(veri!J:J,80,veri!I:I,"&gt;=1400",veri!I:I,"&lt;1500")</f>
        <v>0</v>
      </c>
      <c r="AG17" s="135">
        <f>COUNTIFS(veri!J:J,90,veri!I:I,"&gt;=1400",veri!I:I,"&lt;1500")</f>
        <v>0</v>
      </c>
      <c r="AH17" s="135">
        <f>COUNTIFS(veri!J:J,99,veri!I:I,"&gt;=1400",veri!I:I,"&lt;1500")</f>
        <v>0</v>
      </c>
      <c r="AI17" s="60">
        <f t="shared" si="0"/>
        <v>0</v>
      </c>
      <c r="AJ17" s="60">
        <f>COUNTIFS(veri!I:I,"&gt;=1400",veri!I:I,"&lt;1500",veri!K:K,"&gt;=6000")</f>
        <v>0</v>
      </c>
      <c r="AK17" s="60">
        <f t="shared" si="1"/>
        <v>0</v>
      </c>
      <c r="AL17" s="129">
        <f>IFERROR(AK17/AK24*100,0)</f>
        <v>0</v>
      </c>
      <c r="AM17" s="14"/>
      <c r="AN17" s="14"/>
      <c r="AO17" s="14"/>
      <c r="AP17" s="14"/>
      <c r="AQ17" s="14"/>
      <c r="AR17" s="14"/>
    </row>
    <row r="18" spans="1:44" ht="12.75" customHeight="1" x14ac:dyDescent="0.15">
      <c r="A18" s="59" t="s">
        <v>688</v>
      </c>
      <c r="B18" s="60">
        <f>COUNTIFS(veri!J:J,10,veri!I:I,"&gt;=1500",veri!I:I,"&lt;1600")</f>
        <v>0</v>
      </c>
      <c r="C18" s="60">
        <f>COUNTIFS(veri!J:J,11,veri!I:I,"&gt;=1500",veri!I:I,"&lt;1600")</f>
        <v>0</v>
      </c>
      <c r="D18" s="60">
        <f>COUNTIFS(veri!J:J,12,veri!I:I,"&gt;=1500",veri!I:I,"&lt;1600")</f>
        <v>0</v>
      </c>
      <c r="E18" s="60">
        <f>COUNTIFS(veri!J:J,13,veri!I:I,"&gt;=1500",veri!I:I,"&lt;1600")</f>
        <v>0</v>
      </c>
      <c r="F18" s="60">
        <f>COUNTIFS(veri!J:J,14,veri!I:I,"&gt;=1500",veri!I:I,"&lt;1600")</f>
        <v>0</v>
      </c>
      <c r="G18" s="60">
        <f>COUNTIFS(veri!J:J,15,veri!I:I,"&gt;=1500",veri!I:I,"&lt;1600")</f>
        <v>0</v>
      </c>
      <c r="H18" s="60">
        <f>COUNTIFS(veri!J:J,20,veri!I:I,"&gt;=1500",veri!I:I,"&lt;1600")</f>
        <v>0</v>
      </c>
      <c r="I18" s="60">
        <f>COUNTIFS(veri!J:J,30,veri!I:I,"&gt;=1500",veri!I:I,"&lt;1600")</f>
        <v>0</v>
      </c>
      <c r="J18" s="60">
        <f>COUNTIFS(veri!J:J,31,veri!I:I,"&gt;=1500",veri!I:I,"&lt;1600")</f>
        <v>0</v>
      </c>
      <c r="K18" s="60">
        <f>COUNTIFS(veri!J:J,32,veri!I:I,"&gt;=1500",veri!I:I,"&lt;1600")</f>
        <v>0</v>
      </c>
      <c r="L18" s="133">
        <f>COUNTIFS(veri!J:J,33,veri!I:I,"&gt;=1500",veri!I:I,"&lt;1600")</f>
        <v>0</v>
      </c>
      <c r="M18" s="60">
        <f>COUNTIFS(veri!J:J,34,veri!I:I,"&gt;=1500",veri!I:I,"&lt;1600")</f>
        <v>0</v>
      </c>
      <c r="N18" s="60">
        <f>COUNTIFS(veri!J:J,35,veri!I:I,"&gt;=1500",veri!I:I,"&lt;1600")</f>
        <v>0</v>
      </c>
      <c r="O18" s="60">
        <f>COUNTIFS(veri!J:J,36,veri!I:I,"&gt;=1500",veri!I:I,"&lt;1600")</f>
        <v>0</v>
      </c>
      <c r="P18" s="60">
        <f>COUNTIFS(veri!J:J,37,veri!I:I,"&gt;=1500",veri!I:I,"&lt;1600")</f>
        <v>0</v>
      </c>
      <c r="Q18" s="60">
        <f>COUNTIFS(veri!J:J,40,veri!I:I,"&gt;=1500",veri!I:I,"&lt;1600")</f>
        <v>0</v>
      </c>
      <c r="R18" s="60">
        <f>COUNTIFS(veri!J:J,41,veri!I:I,"&gt;=1500",veri!I:I,"&lt;1600")</f>
        <v>0</v>
      </c>
      <c r="S18" s="60">
        <f>COUNTIFS(veri!J:J,42,veri!I:I,"&gt;=1500",veri!I:I,"&lt;1600")</f>
        <v>0</v>
      </c>
      <c r="T18" s="60">
        <f>COUNTIFS(veri!J:J,43,veri!I:I,"&gt;=1500",veri!I:I,"&lt;1600")</f>
        <v>0</v>
      </c>
      <c r="U18" s="60">
        <f>COUNTIFS(veri!J:J,44,veri!I:I,"&gt;=1500",veri!I:I,"&lt;1600")</f>
        <v>0</v>
      </c>
      <c r="V18" s="60">
        <f>COUNTIFS(veri!J:J,45,veri!I:I,"&gt;=1500",veri!I:I,"&lt;1600")</f>
        <v>0</v>
      </c>
      <c r="W18" s="60">
        <f>COUNTIFS(veri!J:J,46,veri!I:I,"&gt;=1500",veri!I:I,"&lt;1600")</f>
        <v>0</v>
      </c>
      <c r="X18" s="60">
        <f>COUNTIFS(veri!J:J,50,veri!I:I,"&gt;=1500",veri!I:I,"&lt;1600")</f>
        <v>0</v>
      </c>
      <c r="Y18" s="60">
        <f>COUNTIFS(veri!J:J,51,veri!I:I,"&gt;=1500",veri!I:I,"&lt;1600")</f>
        <v>0</v>
      </c>
      <c r="Z18" s="60">
        <f>COUNTIFS(veri!J:J,52,veri!I:I,"&gt;=1500",veri!I:I,"&lt;1600")</f>
        <v>0</v>
      </c>
      <c r="AA18" s="60">
        <f>COUNTIFS(veri!J:J,53,veri!I:I,"&gt;=1500",veri!I:I,"&lt;1600")</f>
        <v>0</v>
      </c>
      <c r="AB18" s="60">
        <f>COUNTIFS(veri!J:J,54,veri!I:I,"&gt;=1500",veri!I:I,"&lt;1600")</f>
        <v>0</v>
      </c>
      <c r="AC18" s="60">
        <f>COUNTIFS(veri!J:J,55,veri!I:I,"&gt;=1500",veri!I:I,"&lt;1600")</f>
        <v>0</v>
      </c>
      <c r="AD18" s="60">
        <f>COUNTIFS(veri!J:J,60,veri!I:I,"&gt;=1500",veri!I:I,"&lt;1600")</f>
        <v>0</v>
      </c>
      <c r="AE18" s="60">
        <f>COUNTIFS(veri!J:J,70,veri!I:I,"&gt;=1500",veri!I:I,"&lt;1600")</f>
        <v>0</v>
      </c>
      <c r="AF18" s="60">
        <f>COUNTIFS(veri!J:J,80,veri!I:I,"&gt;=1500",veri!I:I,"&lt;1600")</f>
        <v>0</v>
      </c>
      <c r="AG18" s="60">
        <f>COUNTIFS(veri!J:J,90,veri!I:I,"&gt;=1500",veri!I:I,"&lt;1600")</f>
        <v>0</v>
      </c>
      <c r="AH18" s="60">
        <f>COUNTIFS(veri!J:J,99,veri!I:I,"&gt;=1500",veri!I:I,"&lt;1600")</f>
        <v>0</v>
      </c>
      <c r="AI18" s="60">
        <f t="shared" si="0"/>
        <v>0</v>
      </c>
      <c r="AJ18" s="60">
        <f>COUNTIFS(veri!I:I,"&gt;=1500",veri!I:I,"&lt;1600",veri!K:K,"&gt;=6000")</f>
        <v>0</v>
      </c>
      <c r="AK18" s="60">
        <f t="shared" si="1"/>
        <v>0</v>
      </c>
      <c r="AL18" s="129">
        <f>IFERROR(AK18/AK24*100,0)</f>
        <v>0</v>
      </c>
      <c r="AM18" s="14"/>
      <c r="AN18" s="14"/>
      <c r="AO18" s="14"/>
      <c r="AP18" s="14"/>
      <c r="AQ18" s="14"/>
      <c r="AR18" s="14"/>
    </row>
    <row r="19" spans="1:44" ht="12.75" customHeight="1" x14ac:dyDescent="0.15">
      <c r="A19" s="134" t="s">
        <v>897</v>
      </c>
      <c r="B19" s="136">
        <f>COUNTIFS(veri!J:J,10,veri!I:I,"&gt;=1600",veri!I:I,"&lt;1700")</f>
        <v>0</v>
      </c>
      <c r="C19" s="136">
        <f>COUNTIFS(veri!J:J,11,veri!I:I,"&gt;=1600",veri!I:I,"&lt;1700")</f>
        <v>0</v>
      </c>
      <c r="D19" s="136">
        <f>COUNTIFS(veri!J:J,12,veri!I:I,"&gt;=1600",veri!I:I,"&lt;1700")</f>
        <v>0</v>
      </c>
      <c r="E19" s="136">
        <f>COUNTIFS(veri!J:J,13,veri!I:I,"&gt;=1600",veri!I:I,"&lt;1700")</f>
        <v>0</v>
      </c>
      <c r="F19" s="136">
        <f>COUNTIFS(veri!J:J,14,veri!I:I,"&gt;=1600",veri!I:I,"&lt;1700")</f>
        <v>0</v>
      </c>
      <c r="G19" s="136">
        <f>COUNTIFS(veri!J:J,15,veri!I:I,"&gt;=1600",veri!I:I,"&lt;1700")</f>
        <v>0</v>
      </c>
      <c r="H19" s="136">
        <f>COUNTIFS(veri!J:J,20,veri!I:I,"&gt;=1600",veri!I:I,"&lt;1700")</f>
        <v>0</v>
      </c>
      <c r="I19" s="136">
        <f>COUNTIFS(veri!J:J,30,veri!I:I,"&gt;=1600",veri!I:I,"&lt;1700")</f>
        <v>0</v>
      </c>
      <c r="J19" s="136">
        <f>COUNTIFS(veri!J:J,31,veri!I:I,"&gt;=1600",veri!I:I,"&lt;1700")</f>
        <v>0</v>
      </c>
      <c r="K19" s="136">
        <f>COUNTIFS(veri!J:J,32,veri!I:I,"&gt;=1600",veri!I:I,"&lt;1700")</f>
        <v>0</v>
      </c>
      <c r="L19" s="137">
        <f>COUNTIFS(veri!J:J,33,veri!I:I,"&gt;=1600",veri!I:I,"&lt;1700")</f>
        <v>0</v>
      </c>
      <c r="M19" s="135">
        <f>COUNTIFS(veri!J:J,34,veri!I:I,"&gt;=1600",veri!I:I,"&lt;1700")</f>
        <v>0</v>
      </c>
      <c r="N19" s="135">
        <f>COUNTIFS(veri!J:J,35,veri!I:I,"&gt;=1600",veri!I:I,"&lt;1700")</f>
        <v>0</v>
      </c>
      <c r="O19" s="135">
        <f>COUNTIFS(veri!J:J,36,veri!I:I,"&gt;=1600",veri!I:I,"&lt;1700")</f>
        <v>0</v>
      </c>
      <c r="P19" s="135">
        <f>COUNTIFS(veri!J:J,37,veri!I:I,"&gt;=1600",veri!I:I,"&lt;1700")</f>
        <v>0</v>
      </c>
      <c r="Q19" s="135">
        <f>COUNTIFS(veri!J:J,40,veri!I:I,"&gt;=1600",veri!I:I,"&lt;1700")</f>
        <v>0</v>
      </c>
      <c r="R19" s="135">
        <f>COUNTIFS(veri!J:J,41,veri!I:I,"&gt;=1600",veri!I:I,"&lt;1700")</f>
        <v>0</v>
      </c>
      <c r="S19" s="135">
        <f>COUNTIFS(veri!J:J,42,veri!I:I,"&gt;=1600",veri!I:I,"&lt;1700")</f>
        <v>0</v>
      </c>
      <c r="T19" s="135">
        <f>COUNTIFS(veri!J:J,43,veri!I:I,"&gt;=1600",veri!I:I,"&lt;1700")</f>
        <v>0</v>
      </c>
      <c r="U19" s="135">
        <f>COUNTIFS(veri!J:J,44,veri!I:I,"&gt;=1600",veri!I:I,"&lt;1700")</f>
        <v>0</v>
      </c>
      <c r="V19" s="135">
        <f>COUNTIFS(veri!J:J,45,veri!I:I,"&gt;=1600",veri!I:I,"&lt;1700")</f>
        <v>0</v>
      </c>
      <c r="W19" s="135">
        <f>COUNTIFS(veri!J:J,46,veri!I:I,"&gt;=1600",veri!I:I,"&lt;1700")</f>
        <v>0</v>
      </c>
      <c r="X19" s="135">
        <f>COUNTIFS(veri!J:J,50,veri!I:I,"&gt;=1600",veri!I:I,"&lt;1700")</f>
        <v>0</v>
      </c>
      <c r="Y19" s="135">
        <f>COUNTIFS(veri!J:J,51,veri!I:I,"&gt;=1600",veri!I:I,"&lt;1700")</f>
        <v>0</v>
      </c>
      <c r="Z19" s="135">
        <f>COUNTIFS(veri!J:J,52,veri!I:I,"&gt;=1600",veri!I:I,"&lt;1700")</f>
        <v>0</v>
      </c>
      <c r="AA19" s="135">
        <f>COUNTIFS(veri!J:J,53,veri!I:I,"&gt;=1600",veri!I:I,"&lt;1700")</f>
        <v>0</v>
      </c>
      <c r="AB19" s="135">
        <f>COUNTIFS(veri!J:J,54,veri!I:I,"&gt;=1600",veri!I:I,"&lt;1700")</f>
        <v>0</v>
      </c>
      <c r="AC19" s="135">
        <f>COUNTIFS(veri!J:J,55,veri!I:I,"&gt;=1600",veri!I:I,"&lt;1700")</f>
        <v>0</v>
      </c>
      <c r="AD19" s="135">
        <f>COUNTIFS(veri!J:J,60,veri!I:I,"&gt;=1600",veri!I:I,"&lt;1700")</f>
        <v>0</v>
      </c>
      <c r="AE19" s="135">
        <f>COUNTIFS(veri!J:J,70,veri!I:I,"&gt;=1600",veri!I:I,"&lt;1700")</f>
        <v>0</v>
      </c>
      <c r="AF19" s="135">
        <f>COUNTIFS(veri!J:J,80,veri!I:I,"&gt;=1600",veri!I:I,"&lt;1700")</f>
        <v>0</v>
      </c>
      <c r="AG19" s="135">
        <f>COUNTIFS(veri!J:J,90,veri!I:I,"&gt;=1600",veri!I:I,"&lt;1700")</f>
        <v>0</v>
      </c>
      <c r="AH19" s="135">
        <f>COUNTIFS(veri!J:J,99,veri!I:I,"&gt;=1600",veri!I:I,"&lt;1700")</f>
        <v>0</v>
      </c>
      <c r="AI19" s="60">
        <f t="shared" si="0"/>
        <v>0</v>
      </c>
      <c r="AJ19" s="60">
        <f>COUNTIFS(veri!I:I,"&gt;=1600",veri!I:I,"&lt;1700",veri!K:K,"&gt;=6000")</f>
        <v>0</v>
      </c>
      <c r="AK19" s="60">
        <f t="shared" si="1"/>
        <v>0</v>
      </c>
      <c r="AL19" s="129">
        <f>IFERROR(AK19/AK24*100,0)</f>
        <v>0</v>
      </c>
      <c r="AM19" s="14"/>
      <c r="AN19" s="14"/>
      <c r="AO19" s="14"/>
      <c r="AP19" s="14"/>
      <c r="AQ19" s="14"/>
      <c r="AR19" s="14"/>
    </row>
    <row r="20" spans="1:44" ht="12.75" customHeight="1" x14ac:dyDescent="0.15">
      <c r="A20" s="59" t="s">
        <v>898</v>
      </c>
      <c r="B20" s="60">
        <f>COUNTIFS(veri!J:J,10,veri!I:I,"&gt;=1700",veri!I:I,"&lt;1800")</f>
        <v>0</v>
      </c>
      <c r="C20" s="60">
        <f>COUNTIFS(veri!J:J,11,veri!I:I,"&gt;=1700",veri!I:I,"&lt;1800")</f>
        <v>0</v>
      </c>
      <c r="D20" s="60">
        <f>COUNTIFS(veri!J:J,12,veri!I:I,"&gt;=1700",veri!I:I,"&lt;1800")</f>
        <v>0</v>
      </c>
      <c r="E20" s="60">
        <f>COUNTIFS(veri!J:J,13,veri!I:I,"&gt;=1700",veri!I:I,"&lt;1800")</f>
        <v>0</v>
      </c>
      <c r="F20" s="60">
        <f>COUNTIFS(veri!J:J,14,veri!I:I,"&gt;=1700",veri!I:I,"&lt;1800")</f>
        <v>0</v>
      </c>
      <c r="G20" s="60">
        <f>COUNTIFS(veri!J:J,15,veri!I:I,"&gt;=1700",veri!I:I,"&lt;1800")</f>
        <v>0</v>
      </c>
      <c r="H20" s="60">
        <f>COUNTIFS(veri!J:J,20,veri!I:I,"&gt;=1700",veri!I:I,"&lt;1800")</f>
        <v>0</v>
      </c>
      <c r="I20" s="60">
        <f>COUNTIFS(veri!J:J,30,veri!I:I,"&gt;=1700",veri!I:I,"&lt;1800")</f>
        <v>0</v>
      </c>
      <c r="J20" s="60">
        <f>COUNTIFS(veri!J:J,31,veri!I:I,"&gt;=1700",veri!I:I,"&lt;1800")</f>
        <v>0</v>
      </c>
      <c r="K20" s="60">
        <f>COUNTIFS(veri!J:J,32,veri!I:I,"&gt;=1700",veri!I:I,"&lt;1800")</f>
        <v>0</v>
      </c>
      <c r="L20" s="60">
        <f>COUNTIFS(veri!J:J,33,veri!I:I,"&gt;=1700",veri!I:I,"&lt;1800")</f>
        <v>0</v>
      </c>
      <c r="M20" s="60">
        <f>COUNTIFS(veri!J:J,34,veri!I:I,"&gt;=1700",veri!I:I,"&lt;1800")</f>
        <v>0</v>
      </c>
      <c r="N20" s="60">
        <f>COUNTIFS(veri!J:J,35,veri!I:I,"&gt;=1700",veri!I:I,"&lt;1800")</f>
        <v>0</v>
      </c>
      <c r="O20" s="60">
        <f>COUNTIFS(veri!J:J,36,veri!I:I,"&gt;=1700",veri!I:I,"&lt;1800")</f>
        <v>0</v>
      </c>
      <c r="P20" s="60">
        <f>COUNTIFS(veri!J:J,37,veri!I:I,"&gt;=1700",veri!I:I,"&lt;1800")</f>
        <v>0</v>
      </c>
      <c r="Q20" s="60">
        <f>COUNTIFS(veri!J:J,40,veri!I:I,"&gt;=1700",veri!I:I,"&lt;1800")</f>
        <v>0</v>
      </c>
      <c r="R20" s="60">
        <f>COUNTIFS(veri!J:J,41,veri!I:I,"&gt;=1700",veri!I:I,"&lt;1800")</f>
        <v>0</v>
      </c>
      <c r="S20" s="60">
        <f>COUNTIFS(veri!J:J,42,veri!I:I,"&gt;=1700",veri!I:I,"&lt;1800")</f>
        <v>0</v>
      </c>
      <c r="T20" s="60">
        <f>COUNTIFS(veri!J:J,43,veri!I:I,"&gt;=1700",veri!I:I,"&lt;1800")</f>
        <v>0</v>
      </c>
      <c r="U20" s="60">
        <f>COUNTIFS(veri!J:J,44,veri!I:I,"&gt;=1700",veri!I:I,"&lt;1800")</f>
        <v>0</v>
      </c>
      <c r="V20" s="60">
        <f>COUNTIFS(veri!J:J,45,veri!I:I,"&gt;=1700",veri!I:I,"&lt;1800")</f>
        <v>0</v>
      </c>
      <c r="W20" s="60">
        <f>COUNTIFS(veri!J:J,46,veri!I:I,"&gt;=1700",veri!I:I,"&lt;1800")</f>
        <v>0</v>
      </c>
      <c r="X20" s="60">
        <f>COUNTIFS(veri!J:J,50,veri!I:I,"&gt;=1700",veri!I:I,"&lt;1800")</f>
        <v>0</v>
      </c>
      <c r="Y20" s="60">
        <f>COUNTIFS(veri!J:J,51,veri!I:I,"&gt;=1700",veri!I:I,"&lt;1800")</f>
        <v>0</v>
      </c>
      <c r="Z20" s="60">
        <f>COUNTIFS(veri!J:J,52,veri!I:I,"&gt;=1700",veri!I:I,"&lt;1800")</f>
        <v>0</v>
      </c>
      <c r="AA20" s="60">
        <f>COUNTIFS(veri!J:J,53,veri!I:I,"&gt;=1700",veri!I:I,"&lt;1800")</f>
        <v>0</v>
      </c>
      <c r="AB20" s="60">
        <f>COUNTIFS(veri!J:J,54,veri!I:I,"&gt;=1700",veri!I:I,"&lt;1800")</f>
        <v>0</v>
      </c>
      <c r="AC20" s="60">
        <f>COUNTIFS(veri!J:J,55,veri!I:I,"&gt;=1700",veri!I:I,"&lt;1800")</f>
        <v>0</v>
      </c>
      <c r="AD20" s="60">
        <f>COUNTIFS(veri!J:J,60,veri!I:I,"&gt;=1700",veri!I:I,"&lt;1800")</f>
        <v>0</v>
      </c>
      <c r="AE20" s="60">
        <f>COUNTIFS(veri!J:J,70,veri!I:I,"&gt;=1700",veri!I:I,"&lt;1800")</f>
        <v>0</v>
      </c>
      <c r="AF20" s="60">
        <f>COUNTIFS(veri!J:J,80,veri!I:I,"&gt;=1700",veri!I:I,"&lt;1800")</f>
        <v>0</v>
      </c>
      <c r="AG20" s="60">
        <f>COUNTIFS(veri!J:J,90,veri!I:I,"&gt;=1700",veri!I:I,"&lt;1800")</f>
        <v>0</v>
      </c>
      <c r="AH20" s="60">
        <f>COUNTIFS(veri!J:J,99,veri!I:I,"&gt;=1700",veri!I:I,"&lt;1800")</f>
        <v>0</v>
      </c>
      <c r="AI20" s="60">
        <f t="shared" si="0"/>
        <v>0</v>
      </c>
      <c r="AJ20" s="60">
        <f>COUNTIFS(veri!I:I,"&gt;=1700",veri!I:I,"&lt;1800",veri!K:K,"&gt;=6000")</f>
        <v>0</v>
      </c>
      <c r="AK20" s="60">
        <f t="shared" si="1"/>
        <v>0</v>
      </c>
      <c r="AL20" s="129">
        <f>IFERROR(AK20/AK24*100,0)</f>
        <v>0</v>
      </c>
      <c r="AM20" s="14"/>
      <c r="AN20" s="14"/>
      <c r="AO20" s="14"/>
      <c r="AP20" s="14"/>
      <c r="AQ20" s="14"/>
      <c r="AR20" s="14"/>
    </row>
    <row r="21" spans="1:44" ht="12.75" customHeight="1" x14ac:dyDescent="0.15">
      <c r="A21" s="134" t="s">
        <v>899</v>
      </c>
      <c r="B21" s="135">
        <f>COUNTIFS(veri!J:J,10,veri!I:I,"&gt;=1800",veri!I:I,"&lt;1900")</f>
        <v>0</v>
      </c>
      <c r="C21" s="135">
        <f>COUNTIFS(veri!J:J,11,veri!I:I,"&gt;=1800",veri!I:I,"&lt;1900")</f>
        <v>0</v>
      </c>
      <c r="D21" s="135">
        <f>COUNTIFS(veri!J:J,12,veri!I:I,"&gt;=1800",veri!I:I,"&lt;1900")</f>
        <v>0</v>
      </c>
      <c r="E21" s="135">
        <f>COUNTIFS(veri!J:J,13,veri!I:I,"&gt;=1800",veri!I:I,"&lt;1900")</f>
        <v>0</v>
      </c>
      <c r="F21" s="135">
        <f>COUNTIFS(veri!J:J,14,veri!I:I,"&gt;=1800",veri!I:I,"&lt;1900")</f>
        <v>0</v>
      </c>
      <c r="G21" s="135">
        <f>COUNTIFS(veri!J:J,15,veri!I:I,"&gt;=1800",veri!I:I,"&lt;1900")</f>
        <v>0</v>
      </c>
      <c r="H21" s="135">
        <f>COUNTIFS(veri!J:J,20,veri!I:I,"&gt;=1800",veri!I:I,"&lt;1900")</f>
        <v>0</v>
      </c>
      <c r="I21" s="135">
        <f>COUNTIFS(veri!J:J,30,veri!I:I,"&gt;=1800",veri!I:I,"&lt;1900")</f>
        <v>0</v>
      </c>
      <c r="J21" s="135">
        <f>COUNTIFS(veri!J:J,31,veri!I:I,"&gt;=1800",veri!I:I,"&lt;1900")</f>
        <v>0</v>
      </c>
      <c r="K21" s="135">
        <f>COUNTIFS(veri!J:J,32,veri!I:I,"&gt;=1800",veri!I:I,"&lt;1900")</f>
        <v>0</v>
      </c>
      <c r="L21" s="135">
        <f>COUNTIFS(veri!J:J,33,veri!I:I,"&gt;=1800",veri!I:I,"&lt;1900")</f>
        <v>0</v>
      </c>
      <c r="M21" s="135">
        <f>COUNTIFS(veri!J:J,34,veri!I:I,"&gt;=1800",veri!I:I,"&lt;1900")</f>
        <v>0</v>
      </c>
      <c r="N21" s="135">
        <f>COUNTIFS(veri!J:J,35,veri!I:I,"&gt;=1800",veri!I:I,"&lt;1900")</f>
        <v>0</v>
      </c>
      <c r="O21" s="135">
        <f>COUNTIFS(veri!J:J,36,veri!I:I,"&gt;=1800",veri!I:I,"&lt;1900")</f>
        <v>0</v>
      </c>
      <c r="P21" s="135">
        <f>COUNTIFS(veri!J:J,37,veri!I:I,"&gt;=1800",veri!I:I,"&lt;1900")</f>
        <v>0</v>
      </c>
      <c r="Q21" s="135">
        <f>COUNTIFS(veri!J:J,40,veri!I:I,"&gt;=1800",veri!I:I,"&lt;1900")</f>
        <v>0</v>
      </c>
      <c r="R21" s="135">
        <f>COUNTIFS(veri!J:J,41,veri!I:I,"&gt;=1800",veri!I:I,"&lt;1900")</f>
        <v>0</v>
      </c>
      <c r="S21" s="135">
        <f>COUNTIFS(veri!J:J,42,veri!I:I,"&gt;=1800",veri!I:I,"&lt;1900")</f>
        <v>0</v>
      </c>
      <c r="T21" s="135">
        <f>COUNTIFS(veri!J:J,43,veri!I:I,"&gt;=1800",veri!I:I,"&lt;1900")</f>
        <v>0</v>
      </c>
      <c r="U21" s="135">
        <f>COUNTIFS(veri!J:J,44,veri!I:I,"&gt;=1800",veri!I:I,"&lt;1900")</f>
        <v>0</v>
      </c>
      <c r="V21" s="135">
        <f>COUNTIFS(veri!J:J,45,veri!I:I,"&gt;=1800",veri!I:I,"&lt;1900")</f>
        <v>0</v>
      </c>
      <c r="W21" s="135">
        <f>COUNTIFS(veri!J:J,46,veri!I:I,"&gt;=1800",veri!I:I,"&lt;1900")</f>
        <v>0</v>
      </c>
      <c r="X21" s="135">
        <f>COUNTIFS(veri!J:J,50,veri!I:I,"&gt;=1800",veri!I:I,"&lt;1900")</f>
        <v>0</v>
      </c>
      <c r="Y21" s="135">
        <f>COUNTIFS(veri!J:J,51,veri!I:I,"&gt;=1800",veri!I:I,"&lt;1900")</f>
        <v>0</v>
      </c>
      <c r="Z21" s="135">
        <f>COUNTIFS(veri!J:J,52,veri!I:I,"&gt;=1800",veri!I:I,"&lt;1900")</f>
        <v>0</v>
      </c>
      <c r="AA21" s="135">
        <f>COUNTIFS(veri!J:J,53,veri!I:I,"&gt;=1800",veri!I:I,"&lt;1900")</f>
        <v>0</v>
      </c>
      <c r="AB21" s="135">
        <f>COUNTIFS(veri!J:J,54,veri!I:I,"&gt;=1800",veri!I:I,"&lt;1900")</f>
        <v>0</v>
      </c>
      <c r="AC21" s="135">
        <f>COUNTIFS(veri!J:J,55,veri!I:I,"&gt;=1800",veri!I:I,"&lt;1900")</f>
        <v>0</v>
      </c>
      <c r="AD21" s="135">
        <f>COUNTIFS(veri!J:J,60,veri!I:I,"&gt;=1800",veri!I:I,"&lt;1900")</f>
        <v>0</v>
      </c>
      <c r="AE21" s="135">
        <f>COUNTIFS(veri!J:J,70,veri!I:I,"&gt;=1800",veri!I:I,"&lt;1900")</f>
        <v>0</v>
      </c>
      <c r="AF21" s="135">
        <f>COUNTIFS(veri!J:J,80,veri!I:I,"&gt;=1800",veri!I:I,"&lt;1900")</f>
        <v>0</v>
      </c>
      <c r="AG21" s="135">
        <f>COUNTIFS(veri!J:J,90,veri!I:I,"&gt;=1800",veri!I:I,"&lt;1900")</f>
        <v>0</v>
      </c>
      <c r="AH21" s="135">
        <f>COUNTIFS(veri!J:J,99,veri!I:I,"&gt;=1800",veri!I:I,"&lt;1900")</f>
        <v>0</v>
      </c>
      <c r="AI21" s="60">
        <f t="shared" si="0"/>
        <v>0</v>
      </c>
      <c r="AJ21" s="60">
        <f>COUNTIFS(veri!I:I,"&gt;=1800",veri!I:I,"&lt;1900",veri!K:K,"&gt;=6000")</f>
        <v>0</v>
      </c>
      <c r="AK21" s="60">
        <f t="shared" si="1"/>
        <v>0</v>
      </c>
      <c r="AL21" s="129">
        <f>IFERROR(AK21/AK24*100,0)</f>
        <v>0</v>
      </c>
      <c r="AM21" s="14"/>
      <c r="AN21" s="14"/>
      <c r="AO21" s="14"/>
      <c r="AP21" s="14"/>
      <c r="AQ21" s="14"/>
      <c r="AR21" s="14"/>
    </row>
    <row r="22" spans="1:44" ht="12.75" customHeight="1" x14ac:dyDescent="0.15">
      <c r="A22" s="59" t="s">
        <v>692</v>
      </c>
      <c r="B22" s="60">
        <f>COUNTIFS(veri!J:J,10,veri!I:I,"&gt;=1900",veri!I:I,"&lt;2100")</f>
        <v>0</v>
      </c>
      <c r="C22" s="60">
        <f>COUNTIFS(veri!J:J,11,veri!I:I,"&gt;=1900",veri!I:I,"&lt;2100")</f>
        <v>0</v>
      </c>
      <c r="D22" s="60">
        <f>COUNTIFS(veri!J:J,12,veri!I:I,"&gt;=1900",veri!I:I,"&lt;2100")</f>
        <v>0</v>
      </c>
      <c r="E22" s="60">
        <f>COUNTIFS(veri!J:J,13,veri!I:I,"&gt;=1900",veri!I:I,"&lt;2100")</f>
        <v>0</v>
      </c>
      <c r="F22" s="60">
        <f>COUNTIFS(veri!J:J,14,veri!I:I,"&gt;=1900",veri!I:I,"&lt;2100")</f>
        <v>0</v>
      </c>
      <c r="G22" s="60">
        <f>COUNTIFS(veri!J:J,15,veri!I:I,"&gt;=1900",veri!I:I,"&lt;2100")</f>
        <v>1</v>
      </c>
      <c r="H22" s="60">
        <f>COUNTIFS(veri!J:J,20,veri!I:I,"&gt;=1900",veri!I:I,"&lt;2100")</f>
        <v>0</v>
      </c>
      <c r="I22" s="60">
        <f>COUNTIFS(veri!J:J,30,veri!I:I,"&gt;=1900",veri!I:I,"&lt;2100")</f>
        <v>0</v>
      </c>
      <c r="J22" s="60">
        <f>COUNTIFS(veri!J:J,31,veri!I:I,"&gt;=1900",veri!I:I,"&lt;2100")</f>
        <v>0</v>
      </c>
      <c r="K22" s="60">
        <f>COUNTIFS(veri!J:J,32,veri!I:I,"&gt;=1900",veri!I:I,"&lt;2100")</f>
        <v>0</v>
      </c>
      <c r="L22" s="60">
        <f>COUNTIFS(veri!J:J,33,veri!I:I,"&gt;=1900",veri!I:I,"&lt;2100")</f>
        <v>0</v>
      </c>
      <c r="M22" s="60">
        <f>COUNTIFS(veri!J:J,34,veri!I:I,"&gt;=1900",veri!I:I,"&lt;2100")</f>
        <v>0</v>
      </c>
      <c r="N22" s="60">
        <f>COUNTIFS(veri!J:J,35,veri!I:I,"&gt;=1900",veri!I:I,"&lt;2100")</f>
        <v>0</v>
      </c>
      <c r="O22" s="60">
        <f>COUNTIFS(veri!J:J,36,veri!I:I,"&gt;=1900",veri!I:I,"&lt;2100")</f>
        <v>0</v>
      </c>
      <c r="P22" s="60">
        <f>COUNTIFS(veri!J:J,37,veri!I:I,"&gt;=1900",veri!I:I,"&lt;2100")</f>
        <v>0</v>
      </c>
      <c r="Q22" s="60">
        <f>COUNTIFS(veri!J:J,40,veri!I:I,"&gt;=1900",veri!I:I,"&lt;2100")</f>
        <v>0</v>
      </c>
      <c r="R22" s="60">
        <f>COUNTIFS(veri!J:J,41,veri!I:I,"&gt;=1900",veri!I:I,"&lt;2100")</f>
        <v>0</v>
      </c>
      <c r="S22" s="60">
        <f>COUNTIFS(veri!J:J,42,veri!I:I,"&gt;=1900",veri!I:I,"&lt;2100")</f>
        <v>0</v>
      </c>
      <c r="T22" s="60">
        <f>COUNTIFS(veri!J:J,43,veri!I:I,"&gt;=1900",veri!I:I,"&lt;2100")</f>
        <v>0</v>
      </c>
      <c r="U22" s="60">
        <f>COUNTIFS(veri!J:J,44,veri!I:I,"&gt;=1900",veri!I:I,"&lt;2100")</f>
        <v>0</v>
      </c>
      <c r="V22" s="60">
        <f>COUNTIFS(veri!J:J,45,veri!I:I,"&gt;=1900",veri!I:I,"&lt;2100")</f>
        <v>0</v>
      </c>
      <c r="W22" s="60">
        <f>COUNTIFS(veri!J:J,46,veri!I:I,"&gt;=1900",veri!I:I,"&lt;2100")</f>
        <v>0</v>
      </c>
      <c r="X22" s="60">
        <f>COUNTIFS(veri!J:J,50,veri!I:I,"&gt;=1900",veri!I:I,"&lt;2100")</f>
        <v>0</v>
      </c>
      <c r="Y22" s="60">
        <f>COUNTIFS(veri!J:J,51,veri!I:I,"&gt;=1900",veri!I:I,"&lt;2100")</f>
        <v>0</v>
      </c>
      <c r="Z22" s="60">
        <f>COUNTIFS(veri!J:J,52,veri!I:I,"&gt;=1900",veri!I:I,"&lt;2100")</f>
        <v>0</v>
      </c>
      <c r="AA22" s="60">
        <f>COUNTIFS(veri!J:J,53,veri!I:I,"&gt;=1900",veri!I:I,"&lt;2100")</f>
        <v>0</v>
      </c>
      <c r="AB22" s="60">
        <f>COUNTIFS(veri!J:J,54,veri!I:I,"&gt;=1900",veri!I:I,"&lt;2100")</f>
        <v>0</v>
      </c>
      <c r="AC22" s="60">
        <f>COUNTIFS(veri!J:J,55,veri!I:I,"&gt;=1900",veri!I:I,"&lt;2100")</f>
        <v>0</v>
      </c>
      <c r="AD22" s="60">
        <f>COUNTIFS(veri!J:J,60,veri!I:I,"&gt;=1900",veri!I:I,"&lt;2100")</f>
        <v>0</v>
      </c>
      <c r="AE22" s="60">
        <f>COUNTIFS(veri!J:J,70,veri!I:I,"&gt;=1900",veri!I:I,"&lt;2100")</f>
        <v>0</v>
      </c>
      <c r="AF22" s="60">
        <f>COUNTIFS(veri!J:J,80,veri!I:I,"&gt;=1900",veri!I:I,"&lt;2100")</f>
        <v>0</v>
      </c>
      <c r="AG22" s="60">
        <f>COUNTIFS(veri!J:J,90,veri!I:I,"&gt;=1900",veri!I:I,"&lt;2100")</f>
        <v>0</v>
      </c>
      <c r="AH22" s="60">
        <f>COUNTIFS(veri!J:J,99,veri!I:I,"&gt;=1900",veri!I:I,"&lt;2100")</f>
        <v>0</v>
      </c>
      <c r="AI22" s="60">
        <f t="shared" si="0"/>
        <v>1</v>
      </c>
      <c r="AJ22" s="60">
        <f>COUNTIFS(veri!I:I,"&gt;=1900",veri!I:I,"&lt;2100",veri!K:K,"&gt;=6000")</f>
        <v>0</v>
      </c>
      <c r="AK22" s="60">
        <f t="shared" si="1"/>
        <v>1</v>
      </c>
      <c r="AL22" s="129">
        <f>IFERROR(AK22/AK24*100,0)</f>
        <v>0</v>
      </c>
      <c r="AM22" s="14"/>
      <c r="AN22" s="14"/>
      <c r="AO22" s="14"/>
      <c r="AP22" s="14"/>
      <c r="AQ22" s="14"/>
      <c r="AR22" s="14"/>
    </row>
    <row r="23" spans="1:44" ht="12.75" customHeight="1" x14ac:dyDescent="0.15">
      <c r="A23" s="134" t="s">
        <v>113</v>
      </c>
      <c r="B23" s="135">
        <f t="shared" ref="B23:AK23" si="2">SUM(B4:B22)</f>
        <v>0</v>
      </c>
      <c r="C23" s="135">
        <f t="shared" si="2"/>
        <v>0</v>
      </c>
      <c r="D23" s="135">
        <f t="shared" si="2"/>
        <v>0</v>
      </c>
      <c r="E23" s="135">
        <f t="shared" si="2"/>
        <v>0</v>
      </c>
      <c r="F23" s="135">
        <f t="shared" si="2"/>
        <v>0</v>
      </c>
      <c r="G23" s="135">
        <f t="shared" si="2"/>
        <v>1</v>
      </c>
      <c r="H23" s="135">
        <f t="shared" si="2"/>
        <v>0</v>
      </c>
      <c r="I23" s="135">
        <f t="shared" si="2"/>
        <v>2</v>
      </c>
      <c r="J23" s="135">
        <f t="shared" si="2"/>
        <v>0</v>
      </c>
      <c r="K23" s="135">
        <f t="shared" si="2"/>
        <v>0</v>
      </c>
      <c r="L23" s="135">
        <f t="shared" si="2"/>
        <v>0</v>
      </c>
      <c r="M23" s="135">
        <f t="shared" si="2"/>
        <v>0</v>
      </c>
      <c r="N23" s="135">
        <f t="shared" si="2"/>
        <v>0</v>
      </c>
      <c r="O23" s="135">
        <f t="shared" si="2"/>
        <v>0</v>
      </c>
      <c r="P23" s="135">
        <f t="shared" si="2"/>
        <v>0</v>
      </c>
      <c r="Q23" s="135">
        <f t="shared" si="2"/>
        <v>0</v>
      </c>
      <c r="R23" s="135">
        <f t="shared" si="2"/>
        <v>0</v>
      </c>
      <c r="S23" s="135">
        <f t="shared" si="2"/>
        <v>0</v>
      </c>
      <c r="T23" s="135">
        <f t="shared" si="2"/>
        <v>0</v>
      </c>
      <c r="U23" s="135">
        <f t="shared" si="2"/>
        <v>1</v>
      </c>
      <c r="V23" s="135">
        <f t="shared" si="2"/>
        <v>2</v>
      </c>
      <c r="W23" s="135">
        <f t="shared" si="2"/>
        <v>0</v>
      </c>
      <c r="X23" s="135">
        <f t="shared" si="2"/>
        <v>0</v>
      </c>
      <c r="Y23" s="135">
        <f t="shared" si="2"/>
        <v>0</v>
      </c>
      <c r="Z23" s="135">
        <f t="shared" si="2"/>
        <v>1</v>
      </c>
      <c r="AA23" s="135">
        <f t="shared" si="2"/>
        <v>0</v>
      </c>
      <c r="AB23" s="135">
        <f t="shared" si="2"/>
        <v>0</v>
      </c>
      <c r="AC23" s="135">
        <f t="shared" si="2"/>
        <v>0</v>
      </c>
      <c r="AD23" s="135">
        <f t="shared" si="2"/>
        <v>0</v>
      </c>
      <c r="AE23" s="135">
        <f t="shared" si="2"/>
        <v>0</v>
      </c>
      <c r="AF23" s="135">
        <f t="shared" si="2"/>
        <v>0</v>
      </c>
      <c r="AG23" s="135">
        <f t="shared" si="2"/>
        <v>0</v>
      </c>
      <c r="AH23" s="135">
        <f t="shared" si="2"/>
        <v>2</v>
      </c>
      <c r="AI23" s="60">
        <f t="shared" si="2"/>
        <v>9</v>
      </c>
      <c r="AJ23" s="60">
        <f t="shared" si="2"/>
        <v>0</v>
      </c>
      <c r="AK23" s="60">
        <f t="shared" si="2"/>
        <v>9</v>
      </c>
      <c r="AL23" s="129">
        <f>IFERROR(100,0)</f>
        <v>100</v>
      </c>
      <c r="AM23" s="14"/>
      <c r="AN23" s="14"/>
      <c r="AO23" s="14"/>
      <c r="AP23" s="14"/>
      <c r="AQ23" s="14"/>
      <c r="AR23" s="14"/>
    </row>
    <row r="24" spans="1:44" ht="15" customHeight="1" x14ac:dyDescent="0.15">
      <c r="A24" s="68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138"/>
      <c r="AM24" s="14"/>
      <c r="AN24" s="14"/>
      <c r="AO24" s="14"/>
      <c r="AP24" s="14"/>
      <c r="AQ24" s="14"/>
      <c r="AR24" s="14"/>
    </row>
    <row r="25" spans="1:44" ht="12.75" customHeight="1" x14ac:dyDescent="0.1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</row>
    <row r="26" spans="1:44" ht="12.75" customHeight="1" x14ac:dyDescent="0.1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</row>
    <row r="27" spans="1:44" ht="12.75" customHeight="1" x14ac:dyDescent="0.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</row>
    <row r="28" spans="1:44" ht="12.75" customHeight="1" x14ac:dyDescent="0.1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</row>
    <row r="29" spans="1:44" ht="12.75" customHeight="1" x14ac:dyDescent="0.1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</row>
    <row r="30" spans="1:44" ht="12.75" customHeight="1" x14ac:dyDescent="0.1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</row>
    <row r="31" spans="1:44" ht="12.75" customHeight="1" x14ac:dyDescent="0.1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</row>
    <row r="32" spans="1:44" ht="12.75" customHeight="1" x14ac:dyDescent="0.1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</row>
    <row r="33" spans="1:44" ht="12.75" customHeight="1" x14ac:dyDescent="0.1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</row>
    <row r="34" spans="1:44" ht="12.75" customHeight="1" x14ac:dyDescent="0.1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</row>
    <row r="35" spans="1:44" ht="12.75" customHeight="1" x14ac:dyDescent="0.1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</row>
    <row r="36" spans="1:44" ht="12.75" customHeight="1" x14ac:dyDescent="0.1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</row>
    <row r="37" spans="1:44" ht="12.75" customHeight="1" x14ac:dyDescent="0.1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</row>
    <row r="38" spans="1:44" ht="12.75" customHeight="1" x14ac:dyDescent="0.1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</row>
    <row r="39" spans="1:44" ht="12.75" customHeight="1" x14ac:dyDescent="0.1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</row>
  </sheetData>
  <printOptions horizontalCentered="1"/>
  <pageMargins left="1.1701388888888899" right="0.75" top="2.13055555555556" bottom="1" header="1.5402777777777801" footer="0.511811023622047"/>
  <pageSetup paperSize="9" orientation="landscape" horizontalDpi="300" verticalDpi="300"/>
  <headerFooter>
    <oddHeader>&amp;C- GLİ, 2022 -_x005F_x000a_KAZALANAN UZUVLARIN KAZA TÜRLERİNE GÖRE DAĞILIMI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K9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24" sqref="J24"/>
    </sheetView>
  </sheetViews>
  <sheetFormatPr baseColWidth="10" defaultColWidth="9" defaultRowHeight="13" x14ac:dyDescent="0.15"/>
  <cols>
    <col min="1" max="1" width="30" customWidth="1"/>
    <col min="2" max="2" width="9" style="3"/>
    <col min="7" max="7" width="9" style="3"/>
    <col min="11" max="11" width="9" style="110"/>
    <col min="35" max="35" width="9" style="30"/>
  </cols>
  <sheetData>
    <row r="1" spans="1:89" ht="10.5" customHeight="1" x14ac:dyDescent="0.15">
      <c r="A1" s="139" t="s">
        <v>900</v>
      </c>
      <c r="B1" s="13"/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</row>
    <row r="2" spans="1:89" ht="13.5" customHeight="1" x14ac:dyDescent="0.15">
      <c r="A2" s="14"/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3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0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</row>
    <row r="3" spans="1:89" ht="114" customHeight="1" x14ac:dyDescent="0.15">
      <c r="A3" s="141" t="s">
        <v>901</v>
      </c>
      <c r="B3" s="118" t="s">
        <v>902</v>
      </c>
      <c r="C3" s="118" t="s">
        <v>903</v>
      </c>
      <c r="D3" s="118" t="s">
        <v>904</v>
      </c>
      <c r="E3" s="118" t="s">
        <v>905</v>
      </c>
      <c r="F3" s="118" t="s">
        <v>906</v>
      </c>
      <c r="G3" s="118" t="s">
        <v>907</v>
      </c>
      <c r="H3" s="118" t="s">
        <v>781</v>
      </c>
      <c r="I3" s="118" t="s">
        <v>782</v>
      </c>
      <c r="J3" s="118" t="s">
        <v>783</v>
      </c>
      <c r="K3" s="118" t="s">
        <v>784</v>
      </c>
      <c r="L3" s="118" t="s">
        <v>785</v>
      </c>
      <c r="M3" s="118" t="s">
        <v>786</v>
      </c>
      <c r="N3" s="118" t="s">
        <v>787</v>
      </c>
      <c r="O3" s="118" t="s">
        <v>908</v>
      </c>
      <c r="P3" s="118" t="s">
        <v>789</v>
      </c>
      <c r="Q3" s="118" t="s">
        <v>909</v>
      </c>
      <c r="R3" s="118" t="s">
        <v>910</v>
      </c>
      <c r="S3" s="118" t="s">
        <v>792</v>
      </c>
      <c r="T3" s="118" t="s">
        <v>911</v>
      </c>
      <c r="U3" s="118" t="s">
        <v>794</v>
      </c>
      <c r="V3" s="118" t="s">
        <v>912</v>
      </c>
      <c r="W3" s="118" t="s">
        <v>913</v>
      </c>
      <c r="X3" s="118" t="s">
        <v>797</v>
      </c>
      <c r="Y3" s="118" t="s">
        <v>914</v>
      </c>
      <c r="Z3" s="118" t="s">
        <v>915</v>
      </c>
      <c r="AA3" s="118" t="s">
        <v>800</v>
      </c>
      <c r="AB3" s="119" t="s">
        <v>801</v>
      </c>
      <c r="AC3" s="119" t="s">
        <v>916</v>
      </c>
      <c r="AD3" s="119" t="s">
        <v>917</v>
      </c>
      <c r="AE3" s="119" t="s">
        <v>804</v>
      </c>
      <c r="AF3" s="119" t="s">
        <v>805</v>
      </c>
      <c r="AG3" s="119" t="s">
        <v>806</v>
      </c>
      <c r="AH3" s="119" t="s">
        <v>807</v>
      </c>
      <c r="AI3" s="128" t="s">
        <v>808</v>
      </c>
      <c r="AJ3" s="119" t="s">
        <v>809</v>
      </c>
      <c r="AK3" s="119" t="s">
        <v>810</v>
      </c>
      <c r="AL3" s="119" t="s">
        <v>918</v>
      </c>
      <c r="AM3" s="119" t="s">
        <v>919</v>
      </c>
      <c r="AN3" s="119" t="s">
        <v>920</v>
      </c>
      <c r="AO3" s="119" t="s">
        <v>814</v>
      </c>
      <c r="AP3" s="119" t="s">
        <v>815</v>
      </c>
      <c r="AQ3" s="119" t="s">
        <v>921</v>
      </c>
      <c r="AR3" s="119" t="s">
        <v>817</v>
      </c>
      <c r="AS3" s="119" t="s">
        <v>818</v>
      </c>
      <c r="AT3" s="119" t="s">
        <v>819</v>
      </c>
      <c r="AU3" s="119" t="s">
        <v>820</v>
      </c>
      <c r="AV3" s="119" t="s">
        <v>922</v>
      </c>
      <c r="AW3" s="119" t="s">
        <v>822</v>
      </c>
      <c r="AX3" s="119" t="s">
        <v>823</v>
      </c>
      <c r="AY3" s="119" t="s">
        <v>824</v>
      </c>
      <c r="AZ3" s="119" t="s">
        <v>825</v>
      </c>
      <c r="BA3" s="119" t="s">
        <v>826</v>
      </c>
      <c r="BB3" s="119" t="s">
        <v>923</v>
      </c>
      <c r="BC3" s="119" t="s">
        <v>828</v>
      </c>
      <c r="BD3" s="119" t="s">
        <v>924</v>
      </c>
      <c r="BE3" s="119" t="s">
        <v>925</v>
      </c>
      <c r="BF3" s="119" t="s">
        <v>926</v>
      </c>
      <c r="BG3" s="119" t="s">
        <v>832</v>
      </c>
      <c r="BH3" s="119" t="s">
        <v>833</v>
      </c>
      <c r="BI3" s="119" t="s">
        <v>834</v>
      </c>
      <c r="BJ3" s="119" t="s">
        <v>835</v>
      </c>
      <c r="BK3" s="119" t="s">
        <v>836</v>
      </c>
      <c r="BL3" s="119" t="s">
        <v>837</v>
      </c>
      <c r="BM3" s="119" t="s">
        <v>838</v>
      </c>
      <c r="BN3" s="119" t="s">
        <v>927</v>
      </c>
      <c r="BO3" s="119" t="s">
        <v>840</v>
      </c>
      <c r="BP3" s="119" t="s">
        <v>928</v>
      </c>
      <c r="BQ3" s="119" t="s">
        <v>842</v>
      </c>
      <c r="BR3" s="119" t="s">
        <v>929</v>
      </c>
      <c r="BS3" s="119" t="s">
        <v>930</v>
      </c>
      <c r="BT3" s="119" t="s">
        <v>931</v>
      </c>
      <c r="BU3" s="119" t="s">
        <v>846</v>
      </c>
      <c r="BV3" s="119" t="s">
        <v>932</v>
      </c>
      <c r="BW3" s="119" t="s">
        <v>848</v>
      </c>
      <c r="BX3" s="119" t="s">
        <v>933</v>
      </c>
      <c r="BY3" s="119" t="s">
        <v>850</v>
      </c>
      <c r="BZ3" s="119" t="s">
        <v>851</v>
      </c>
      <c r="CA3" s="119" t="s">
        <v>934</v>
      </c>
      <c r="CB3" s="119" t="s">
        <v>935</v>
      </c>
      <c r="CC3" s="119" t="s">
        <v>854</v>
      </c>
      <c r="CD3" s="119" t="s">
        <v>855</v>
      </c>
      <c r="CE3" s="117" t="s">
        <v>113</v>
      </c>
      <c r="CF3" s="14"/>
      <c r="CG3" s="14"/>
      <c r="CH3" s="14"/>
      <c r="CI3" s="14"/>
      <c r="CJ3" s="14"/>
      <c r="CK3" s="14"/>
    </row>
    <row r="4" spans="1:89" ht="18" customHeight="1" x14ac:dyDescent="0.15">
      <c r="A4" s="120" t="s">
        <v>936</v>
      </c>
      <c r="B4" s="116">
        <f>COUNTIFS(veri!G:G,1,veri!I:I,"&gt;=1410",veri!I:I,"&lt;1411")</f>
        <v>0</v>
      </c>
      <c r="C4" s="116">
        <f>COUNTIFS(veri!G:G,2,veri!I:I,"&gt;=1410",veri!I:I,"&lt;1411")</f>
        <v>0</v>
      </c>
      <c r="D4" s="116">
        <f>COUNTIFS(veri!G:G,3,veri!I:I,"&gt;=1410",veri!I:I,"&lt;1411")</f>
        <v>0</v>
      </c>
      <c r="E4" s="116">
        <f>COUNTIFS(veri!G:G,4,veri!I:I,"&gt;=1410",veri!I:I,"&lt;1411")</f>
        <v>0</v>
      </c>
      <c r="F4" s="116">
        <f>COUNTIFS(veri!G:G,5,veri!I:I,"&gt;=1410",veri!I:I,"&lt;1411")</f>
        <v>0</v>
      </c>
      <c r="G4" s="116">
        <f>COUNTIFS(veri!G:G,6,veri!I:I,"&gt;=1410",veri!I:I,"&lt;1411")</f>
        <v>0</v>
      </c>
      <c r="H4" s="116">
        <f>COUNTIFS(veri!G:G,7,veri!I:I,"&gt;=1410",veri!I:I,"&lt;1411")</f>
        <v>0</v>
      </c>
      <c r="I4" s="116">
        <f>COUNTIFS(veri!G:G,8,veri!I:I,"&gt;=1410",veri!I:I,"&lt;1411")</f>
        <v>0</v>
      </c>
      <c r="J4" s="116">
        <f>COUNTIFS(veri!G:G,9,veri!I:I,"&gt;=1410",veri!I:I,"&lt;1411")</f>
        <v>0</v>
      </c>
      <c r="K4" s="116">
        <f>COUNTIFS(veri!G:G,10,veri!I:I,"&gt;=1410",veri!I:I,"&lt;1411")</f>
        <v>0</v>
      </c>
      <c r="L4" s="116">
        <f>COUNTIFS(veri!G:G,11,veri!I:I,"&gt;=1410",veri!I:I,"&lt;1411")</f>
        <v>0</v>
      </c>
      <c r="M4" s="116">
        <f>COUNTIFS(veri!G:G,12,veri!I:I,"&gt;=1410",veri!I:I,"&lt;1411")</f>
        <v>0</v>
      </c>
      <c r="N4" s="116">
        <f>COUNTIFS(veri!G:G,13,veri!I:I,"&gt;=1410",veri!I:I,"&lt;1411")</f>
        <v>0</v>
      </c>
      <c r="O4" s="116">
        <f>COUNTIFS(veri!G:G,14,veri!I:I,"&gt;=1410",veri!I:I,"&lt;1411")</f>
        <v>0</v>
      </c>
      <c r="P4" s="116">
        <f>COUNTIFS(veri!G:G,15,veri!I:I,"&gt;=1410",veri!I:I,"&lt;1411")</f>
        <v>0</v>
      </c>
      <c r="Q4" s="116">
        <f>COUNTIFS(veri!G:G,16,veri!I:I,"&gt;=1410",veri!I:I,"&lt;1411")</f>
        <v>0</v>
      </c>
      <c r="R4" s="116">
        <f>COUNTIFS(veri!G:G,17,veri!I:I,"&gt;=1410",veri!I:I,"&lt;1411")</f>
        <v>0</v>
      </c>
      <c r="S4" s="116">
        <f>COUNTIFS(veri!G:G,18,veri!I:I,"&gt;=1410",veri!I:I,"&lt;1411")</f>
        <v>0</v>
      </c>
      <c r="T4" s="116">
        <f>COUNTIFS(veri!G:G,19,veri!I:I,"&gt;=1410",veri!I:I,"&lt;1411")</f>
        <v>0</v>
      </c>
      <c r="U4" s="116">
        <f>COUNTIFS(veri!G:G,20,veri!I:I,"&gt;=1410",veri!I:I,"&lt;1411")</f>
        <v>0</v>
      </c>
      <c r="V4" s="116">
        <f>COUNTIFS(veri!G:G,21,veri!I:I,"&gt;=1410",veri!I:I,"&lt;1411")</f>
        <v>0</v>
      </c>
      <c r="W4" s="116">
        <f>COUNTIFS(veri!G:G,22,veri!I:I,"&gt;=1410",veri!I:I,"&lt;1411")</f>
        <v>0</v>
      </c>
      <c r="X4" s="116">
        <f>COUNTIFS(veri!G:G,23,veri!I:I,"&gt;=1410",veri!I:I,"&lt;1411")</f>
        <v>0</v>
      </c>
      <c r="Y4" s="116">
        <f>COUNTIFS(veri!G:G,24,veri!I:I,"&gt;=1410",veri!I:I,"&lt;1411")</f>
        <v>0</v>
      </c>
      <c r="Z4" s="116">
        <f>COUNTIFS(veri!G:G,25,veri!I:I,"&gt;=1410",veri!I:I,"&lt;1411")</f>
        <v>0</v>
      </c>
      <c r="AA4" s="116">
        <f>COUNTIFS(veri!G:G,26,veri!I:I,"&gt;=1410",veri!I:I,"&lt;1411")</f>
        <v>0</v>
      </c>
      <c r="AB4" s="116">
        <f>COUNTIFS(veri!G:G,51,veri!I:I,"&gt;=1410",veri!I:I,"&lt;1411")</f>
        <v>0</v>
      </c>
      <c r="AC4" s="116">
        <f>COUNTIFS(veri!G:G,52,veri!I:I,"&gt;=1410",veri!I:I,"&lt;1411")</f>
        <v>0</v>
      </c>
      <c r="AD4" s="116">
        <f>COUNTIFS(veri!G:G,53,veri!I:I,"&gt;=1410",veri!I:I,"&lt;1411")</f>
        <v>0</v>
      </c>
      <c r="AE4" s="116">
        <f>COUNTIFS(veri!G:G,54,veri!I:I,"&gt;=1410",veri!I:I,"&lt;1411")</f>
        <v>0</v>
      </c>
      <c r="AF4" s="116">
        <f>COUNTIFS(veri!G:G,55,veri!I:I,"&gt;=1410",veri!I:I,"&lt;1411")</f>
        <v>0</v>
      </c>
      <c r="AG4" s="116">
        <f>COUNTIFS(veri!G:G,56,veri!I:I,"&gt;=1410",veri!I:I,"&lt;1411")</f>
        <v>0</v>
      </c>
      <c r="AH4" s="116">
        <f>COUNTIFS(veri!G:G,57,veri!I:I,"&gt;=1410",veri!I:I,"&lt;1411")</f>
        <v>0</v>
      </c>
      <c r="AI4" s="127">
        <f>COUNTIFS(veri!G:G,58,veri!I:I,"&gt;=1410",veri!I:I,"&lt;1411")</f>
        <v>0</v>
      </c>
      <c r="AJ4" s="116">
        <f>COUNTIFS(veri!G:G,59,veri!I:I,"&gt;=1410",veri!I:I,"&lt;1411")</f>
        <v>0</v>
      </c>
      <c r="AK4" s="116">
        <f>COUNTIFS(veri!G:G,60,veri!I:I,"&gt;=1410",veri!I:I,"&lt;1411")</f>
        <v>0</v>
      </c>
      <c r="AL4" s="116">
        <f>COUNTIFS(veri!G:G,61,veri!I:I,"&gt;=1410",veri!I:I,"&lt;1411")</f>
        <v>0</v>
      </c>
      <c r="AM4" s="116">
        <f>COUNTIFS(veri!G:G,62,veri!I:I,"&gt;=1410",veri!I:I,"&lt;1411")</f>
        <v>0</v>
      </c>
      <c r="AN4" s="116">
        <f>COUNTIFS(veri!G:G,63,veri!I:I,"&gt;=1410",veri!I:I,"&lt;1411")</f>
        <v>0</v>
      </c>
      <c r="AO4" s="116">
        <f>COUNTIFS(veri!G:G,64,veri!I:I,"&gt;=1410",veri!I:I,"&lt;1411")</f>
        <v>0</v>
      </c>
      <c r="AP4" s="116">
        <f>COUNTIFS(veri!G:G,65,veri!I:I,"&gt;=1410",veri!I:I,"&lt;1411")</f>
        <v>0</v>
      </c>
      <c r="AQ4" s="116">
        <f>COUNTIFS(veri!G:G,66,veri!I:I,"&gt;=1410",veri!I:I,"&lt;1411")</f>
        <v>0</v>
      </c>
      <c r="AR4" s="116">
        <f>COUNTIFS(veri!G:G,67,veri!I:I,"&gt;=1410",veri!I:I,"&lt;1411")</f>
        <v>0</v>
      </c>
      <c r="AS4" s="116">
        <f>COUNTIFS(veri!G:G,68,veri!I:I,"&gt;=1410",veri!I:I,"&lt;1411")</f>
        <v>0</v>
      </c>
      <c r="AT4" s="116">
        <f>COUNTIFS(veri!G:G,69,veri!I:I,"&gt;=1410",veri!I:I,"&lt;1411")</f>
        <v>0</v>
      </c>
      <c r="AU4" s="116">
        <f>COUNTIFS(veri!G:G,70,veri!I:I,"&gt;=1410",veri!I:I,"&lt;1411")</f>
        <v>0</v>
      </c>
      <c r="AV4" s="116">
        <f>COUNTIFS(veri!G:G,71,veri!I:I,"&gt;=1410",veri!I:I,"&lt;1411")</f>
        <v>0</v>
      </c>
      <c r="AW4" s="116">
        <f>COUNTIFS(veri!G:G,72,veri!I:I,"&gt;=1410",veri!I:I,"&lt;1411")</f>
        <v>0</v>
      </c>
      <c r="AX4" s="116">
        <f>COUNTIFS(veri!G:G,73,veri!I:I,"&gt;=1410",veri!I:I,"&lt;1411")</f>
        <v>0</v>
      </c>
      <c r="AY4" s="116">
        <f>COUNTIFS(veri!G:G,74,veri!I:I,"&gt;=1410",veri!I:I,"&lt;1411")</f>
        <v>0</v>
      </c>
      <c r="AZ4" s="116">
        <f>COUNTIFS(veri!G:G,75,veri!I:I,"&gt;=1410",veri!I:I,"&lt;1411")</f>
        <v>0</v>
      </c>
      <c r="BA4" s="116">
        <f>COUNTIFS(veri!G:G,76,veri!I:I,"&gt;=1410",veri!I:I,"&lt;1411")</f>
        <v>0</v>
      </c>
      <c r="BB4" s="116">
        <f>COUNTIFS(veri!G:G,77,veri!I:I,"&gt;=1410",veri!I:I,"&lt;1411")</f>
        <v>0</v>
      </c>
      <c r="BC4" s="116">
        <f>COUNTIFS(veri!G:G,78,veri!I:I,"&gt;=1410",veri!I:I,"&lt;1411")</f>
        <v>0</v>
      </c>
      <c r="BD4" s="116">
        <f>COUNTIFS(veri!G:G,79,veri!I:I,"&gt;=1410",veri!I:I,"&lt;1411")</f>
        <v>0</v>
      </c>
      <c r="BE4" s="116">
        <f>COUNTIFS(veri!G:G,80,veri!I:I,"&gt;=1410",veri!I:I,"&lt;1411")</f>
        <v>0</v>
      </c>
      <c r="BF4" s="116">
        <f>COUNTIFS(veri!G:G,81,veri!I:I,"&gt;=1410",veri!I:I,"&lt;1411")</f>
        <v>0</v>
      </c>
      <c r="BG4" s="116">
        <f>COUNTIFS(veri!G:G,82,veri!I:I,"&gt;=1410",veri!I:I,"&lt;1411")</f>
        <v>0</v>
      </c>
      <c r="BH4" s="116">
        <f>COUNTIFS(veri!G:G,83,veri!I:I,"&gt;=1410",veri!I:I,"&lt;1411")</f>
        <v>0</v>
      </c>
      <c r="BI4" s="116">
        <f>COUNTIFS(veri!G:G,84,veri!I:I,"&gt;=1410",veri!I:I,"&lt;1411")</f>
        <v>0</v>
      </c>
      <c r="BJ4" s="116">
        <f>COUNTIFS(veri!G:G,85,veri!I:I,"&gt;=1410",veri!I:I,"&lt;1411")</f>
        <v>0</v>
      </c>
      <c r="BK4" s="116">
        <f>COUNTIFS(veri!G:G,86,veri!I:I,"&gt;=1410",veri!I:I,"&lt;1411")</f>
        <v>0</v>
      </c>
      <c r="BL4" s="116">
        <f>COUNTIFS(veri!G:G,87,veri!I:I,"&gt;=1410",veri!I:I,"&lt;1411")</f>
        <v>0</v>
      </c>
      <c r="BM4" s="116">
        <f>COUNTIFS(veri!G:G,88,veri!I:I,"&gt;=1410",veri!I:I,"&lt;1411")</f>
        <v>0</v>
      </c>
      <c r="BN4" s="116">
        <f>COUNTIFS(veri!G:G,89,veri!I:I,"&gt;=1410",veri!I:I,"&lt;1411")</f>
        <v>0</v>
      </c>
      <c r="BO4" s="116">
        <f>COUNTIFS(veri!G:G,90,veri!I:I,"&gt;=1410",veri!I:I,"&lt;1411")</f>
        <v>0</v>
      </c>
      <c r="BP4" s="116">
        <f>COUNTIFS(veri!G:G,91,veri!I:I,"&gt;=1410",veri!I:I,"&lt;1411")</f>
        <v>0</v>
      </c>
      <c r="BQ4" s="116">
        <f>COUNTIFS(veri!G:G,92,veri!I:I,"&gt;=1410",veri!I:I,"&lt;1411")</f>
        <v>0</v>
      </c>
      <c r="BR4" s="116">
        <f>COUNTIFS(veri!G:G,93,veri!I:I,"&gt;=1410",veri!I:I,"&lt;1411")</f>
        <v>0</v>
      </c>
      <c r="BS4" s="116">
        <f>COUNTIFS(veri!G:G,94,veri!I:I,"&gt;=1410",veri!I:I,"&lt;1411")</f>
        <v>0</v>
      </c>
      <c r="BT4" s="116">
        <f>COUNTIFS(veri!G:G,95,veri!I:I,"&gt;=1410",veri!I:I,"&lt;1411")</f>
        <v>0</v>
      </c>
      <c r="BU4" s="116">
        <f>COUNTIFS(veri!G:G,96,veri!I:I,"&gt;=1410",veri!I:I,"&lt;1411")</f>
        <v>0</v>
      </c>
      <c r="BV4" s="116">
        <f>COUNTIFS(veri!G:G,97,veri!I:I,"&gt;=1410",veri!I:I,"&lt;1411")</f>
        <v>0</v>
      </c>
      <c r="BW4" s="116">
        <f>COUNTIFS(veri!G:G,98,veri!I:I,"&gt;=1410",veri!I:I,"&lt;1411")</f>
        <v>0</v>
      </c>
      <c r="BX4" s="116">
        <f>COUNTIFS(veri!G:G,99,veri!I:I,"&gt;=1410",veri!I:I,"&lt;1411")</f>
        <v>0</v>
      </c>
      <c r="BY4" s="116">
        <f>COUNTIFS(veri!G:G,100,veri!I:I,"&gt;=1410",veri!I:I,"&lt;1411")</f>
        <v>0</v>
      </c>
      <c r="BZ4" s="116">
        <f>COUNTIFS(veri!G:G,101,veri!I:I,"&gt;=1410",veri!I:I,"&lt;1411")</f>
        <v>0</v>
      </c>
      <c r="CA4" s="116">
        <f>COUNTIFS(veri!G:G,102,veri!I:I,"&gt;=1410",veri!I:I,"&lt;1411")</f>
        <v>0</v>
      </c>
      <c r="CB4" s="116">
        <f>COUNTIFS(veri!G:G,103,veri!I:I,"&gt;=1410",veri!I:I,"&lt;1411")</f>
        <v>0</v>
      </c>
      <c r="CC4" s="116">
        <f>COUNTIFS(veri!G:G,104,veri!I:I,"&gt;=1410",veri!I:I,"&lt;1411")</f>
        <v>0</v>
      </c>
      <c r="CD4" s="116">
        <f>COUNTIFS(veri!G:G,105,veri!I:I,"&gt;=1410",veri!I:I,"&lt;1411")</f>
        <v>0</v>
      </c>
      <c r="CE4" s="121">
        <f>SUM(B4:CD4)</f>
        <v>0</v>
      </c>
      <c r="CF4" s="14"/>
      <c r="CG4" s="14"/>
      <c r="CH4" s="14"/>
      <c r="CI4" s="14"/>
      <c r="CJ4" s="14"/>
      <c r="CK4" s="14"/>
    </row>
    <row r="5" spans="1:89" ht="18" customHeight="1" x14ac:dyDescent="0.15">
      <c r="A5" s="122" t="s">
        <v>937</v>
      </c>
      <c r="B5" s="123">
        <f>COUNTIFS(veri!G:G,1,veri!I:I,"&gt;=1420",veri!I:I,"&lt;1421")</f>
        <v>0</v>
      </c>
      <c r="C5" s="123">
        <f>COUNTIFS(veri!G:G,2,veri!I:I,"&gt;=1420",veri!I:I,"&lt;1421")</f>
        <v>0</v>
      </c>
      <c r="D5" s="123">
        <f>COUNTIFS(veri!G:G,3,veri!I:I,"&gt;=1420",veri!I:I,"&lt;1421")</f>
        <v>0</v>
      </c>
      <c r="E5" s="123">
        <f>COUNTIFS(veri!G:G,4,veri!I:I,"&gt;=1420",veri!I:I,"&lt;1421")</f>
        <v>0</v>
      </c>
      <c r="F5" s="123">
        <f>COUNTIFS(veri!G:G,5,veri!I:I,"&gt;=1420",veri!I:I,"&lt;1421")</f>
        <v>0</v>
      </c>
      <c r="G5" s="123">
        <f>COUNTIFS(veri!G:G,6,veri!I:I,"&gt;=1420",veri!I:I,"&lt;1421")</f>
        <v>0</v>
      </c>
      <c r="H5" s="123">
        <f>COUNTIFS(veri!G:G,7,veri!I:I,"&gt;=1420",veri!I:I,"&lt;1421")</f>
        <v>0</v>
      </c>
      <c r="I5" s="123">
        <f>COUNTIFS(veri!G:G,8,veri!I:I,"&gt;=1420",veri!I:I,"&lt;1421")</f>
        <v>0</v>
      </c>
      <c r="J5" s="123">
        <f>COUNTIFS(veri!G:G,9,veri!I:I,"&gt;=1420",veri!I:I,"&lt;1421")</f>
        <v>0</v>
      </c>
      <c r="K5" s="123">
        <f>COUNTIFS(veri!G:G,10,veri!I:I,"&gt;=1420",veri!I:I,"&lt;1421")</f>
        <v>0</v>
      </c>
      <c r="L5" s="123">
        <f>COUNTIFS(veri!G:G,11,veri!I:I,"&gt;=1420",veri!I:I,"&lt;1421")</f>
        <v>0</v>
      </c>
      <c r="M5" s="123">
        <f>COUNTIFS(veri!G:G,12,veri!I:I,"&gt;=1420",veri!I:I,"&lt;1421")</f>
        <v>0</v>
      </c>
      <c r="N5" s="123">
        <f>COUNTIFS(veri!G:G,13,veri!I:I,"&gt;=1420",veri!I:I,"&lt;1421")</f>
        <v>0</v>
      </c>
      <c r="O5" s="123">
        <f>COUNTIFS(veri!G:G,14,veri!I:I,"&gt;=1420",veri!I:I,"&lt;1421")</f>
        <v>0</v>
      </c>
      <c r="P5" s="123">
        <f>COUNTIFS(veri!G:G,15,veri!I:I,"&gt;=1420",veri!I:I,"&lt;1421")</f>
        <v>0</v>
      </c>
      <c r="Q5" s="123">
        <f>COUNTIFS(veri!G:G,16,veri!I:I,"&gt;=1420",veri!I:I,"&lt;1421")</f>
        <v>0</v>
      </c>
      <c r="R5" s="123">
        <f>COUNTIFS(veri!G:G,17,veri!I:I,"&gt;=1420",veri!I:I,"&lt;1421")</f>
        <v>0</v>
      </c>
      <c r="S5" s="123">
        <f>COUNTIFS(veri!G:G,18,veri!I:I,"&gt;=1420",veri!I:I,"&lt;1421")</f>
        <v>0</v>
      </c>
      <c r="T5" s="123">
        <f>COUNTIFS(veri!G:G,19,veri!I:I,"&gt;=1420",veri!I:I,"&lt;1421")</f>
        <v>0</v>
      </c>
      <c r="U5" s="123">
        <f>COUNTIFS(veri!G:G,20,veri!I:I,"&gt;=1420",veri!I:I,"&lt;1421")</f>
        <v>0</v>
      </c>
      <c r="V5" s="123">
        <f>COUNTIFS(veri!G:G,21,veri!I:I,"&gt;=1420",veri!I:I,"&lt;1421")</f>
        <v>0</v>
      </c>
      <c r="W5" s="123">
        <f>COUNTIFS(veri!G:G,22,veri!I:I,"&gt;=1420",veri!I:I,"&lt;1421")</f>
        <v>0</v>
      </c>
      <c r="X5" s="123">
        <f>COUNTIFS(veri!G:G,23,veri!I:I,"&gt;=1420",veri!I:I,"&lt;1421")</f>
        <v>0</v>
      </c>
      <c r="Y5" s="123">
        <f>COUNTIFS(veri!G:G,24,veri!I:I,"&gt;=1420",veri!I:I,"&lt;1421")</f>
        <v>0</v>
      </c>
      <c r="Z5" s="123">
        <f>COUNTIFS(veri!G:G,25,veri!I:I,"&gt;=1420",veri!I:I,"&lt;1421")</f>
        <v>0</v>
      </c>
      <c r="AA5" s="123">
        <f>COUNTIFS(veri!G:G,26,veri!I:I,"&gt;=1420",veri!I:I,"&lt;1421")</f>
        <v>0</v>
      </c>
      <c r="AB5" s="123">
        <f>COUNTIFS(veri!G:G,51,veri!I:I,"&gt;=1420",veri!I:I,"&lt;1421")</f>
        <v>0</v>
      </c>
      <c r="AC5" s="123">
        <f>COUNTIFS(veri!G:G,52,veri!I:I,"&gt;=1420",veri!I:I,"&lt;1421")</f>
        <v>0</v>
      </c>
      <c r="AD5" s="123">
        <f>COUNTIFS(veri!G:G,53,veri!I:I,"&gt;=1420",veri!I:I,"&lt;1421")</f>
        <v>0</v>
      </c>
      <c r="AE5" s="123">
        <f>COUNTIFS(veri!G:G,54,veri!I:I,"&gt;=1420",veri!I:I,"&lt;1421")</f>
        <v>0</v>
      </c>
      <c r="AF5" s="123">
        <f>COUNTIFS(veri!G:G,55,veri!I:I,"&gt;=1420",veri!I:I,"&lt;1421")</f>
        <v>0</v>
      </c>
      <c r="AG5" s="123">
        <f>COUNTIFS(veri!G:G,56,veri!I:I,"&gt;=1420",veri!I:I,"&lt;1421")</f>
        <v>0</v>
      </c>
      <c r="AH5" s="123">
        <f>COUNTIFS(veri!G:G,57,veri!I:I,"&gt;=1420",veri!I:I,"&lt;1421")</f>
        <v>0</v>
      </c>
      <c r="AI5" s="124">
        <f>COUNTIFS(veri!G:G,58,veri!I:I,"&gt;=1420",veri!I:I,"&lt;1421")</f>
        <v>0</v>
      </c>
      <c r="AJ5" s="123">
        <f>COUNTIFS(veri!G:G,59,veri!I:I,"&gt;=1420",veri!I:I,"&lt;1421")</f>
        <v>0</v>
      </c>
      <c r="AK5" s="123">
        <f>COUNTIFS(veri!G:G,60,veri!I:I,"&gt;=1420",veri!I:I,"&lt;1421")</f>
        <v>0</v>
      </c>
      <c r="AL5" s="123">
        <f>COUNTIFS(veri!G:G,61,veri!I:I,"&gt;=1420",veri!I:I,"&lt;1421")</f>
        <v>0</v>
      </c>
      <c r="AM5" s="123">
        <f>COUNTIFS(veri!G:G,62,veri!I:I,"&gt;=1420",veri!I:I,"&lt;1421")</f>
        <v>0</v>
      </c>
      <c r="AN5" s="123">
        <f>COUNTIFS(veri!G:G,63,veri!I:I,"&gt;=1420",veri!I:I,"&lt;1421")</f>
        <v>0</v>
      </c>
      <c r="AO5" s="123">
        <f>COUNTIFS(veri!G:G,64,veri!I:I,"&gt;=1420",veri!I:I,"&lt;1421")</f>
        <v>0</v>
      </c>
      <c r="AP5" s="123">
        <f>COUNTIFS(veri!G:G,65,veri!I:I,"&gt;=1420",veri!I:I,"&lt;1421")</f>
        <v>0</v>
      </c>
      <c r="AQ5" s="123">
        <f>COUNTIFS(veri!G:G,66,veri!I:I,"&gt;=1420",veri!I:I,"&lt;1421")</f>
        <v>0</v>
      </c>
      <c r="AR5" s="123">
        <f>COUNTIFS(veri!G:G,67,veri!I:I,"&gt;=1420",veri!I:I,"&lt;1421")</f>
        <v>0</v>
      </c>
      <c r="AS5" s="123">
        <f>COUNTIFS(veri!G:G,68,veri!I:I,"&gt;=1420",veri!I:I,"&lt;1421")</f>
        <v>0</v>
      </c>
      <c r="AT5" s="123">
        <f>COUNTIFS(veri!G:G,69,veri!I:I,"&gt;=1420",veri!I:I,"&lt;1421")</f>
        <v>0</v>
      </c>
      <c r="AU5" s="123">
        <f>COUNTIFS(veri!G:G,70,veri!I:I,"&gt;=1420",veri!I:I,"&lt;1421")</f>
        <v>0</v>
      </c>
      <c r="AV5" s="123">
        <f>COUNTIFS(veri!G:G,71,veri!I:I,"&gt;=1420",veri!I:I,"&lt;1421")</f>
        <v>0</v>
      </c>
      <c r="AW5" s="123">
        <f>COUNTIFS(veri!G:G,72,veri!I:I,"&gt;=1420",veri!I:I,"&lt;1421")</f>
        <v>0</v>
      </c>
      <c r="AX5" s="123">
        <f>COUNTIFS(veri!G:G,73,veri!I:I,"&gt;=1420",veri!I:I,"&lt;1421")</f>
        <v>0</v>
      </c>
      <c r="AY5" s="123">
        <f>COUNTIFS(veri!G:G,74,veri!I:I,"&gt;=1420",veri!I:I,"&lt;1421")</f>
        <v>0</v>
      </c>
      <c r="AZ5" s="123">
        <f>COUNTIFS(veri!G:G,75,veri!I:I,"&gt;=1420",veri!I:I,"&lt;1421")</f>
        <v>0</v>
      </c>
      <c r="BA5" s="123">
        <f>COUNTIFS(veri!G:G,76,veri!I:I,"&gt;=1420",veri!I:I,"&lt;1421")</f>
        <v>0</v>
      </c>
      <c r="BB5" s="123">
        <f>COUNTIFS(veri!G:G,77,veri!I:I,"&gt;=1420",veri!I:I,"&lt;1421")</f>
        <v>0</v>
      </c>
      <c r="BC5" s="123">
        <f>COUNTIFS(veri!G:G,78,veri!I:I,"&gt;=1420",veri!I:I,"&lt;1421")</f>
        <v>0</v>
      </c>
      <c r="BD5" s="123">
        <f>COUNTIFS(veri!G:G,79,veri!I:I,"&gt;=1420",veri!I:I,"&lt;1421")</f>
        <v>0</v>
      </c>
      <c r="BE5" s="123">
        <f>COUNTIFS(veri!G:G,80,veri!I:I,"&gt;=1420",veri!I:I,"&lt;1421")</f>
        <v>0</v>
      </c>
      <c r="BF5" s="123">
        <f>COUNTIFS(veri!G:G,81,veri!I:I,"&gt;=1420",veri!I:I,"&lt;1421")</f>
        <v>0</v>
      </c>
      <c r="BG5" s="123">
        <f>COUNTIFS(veri!G:G,82,veri!I:I,"&gt;=1420",veri!I:I,"&lt;1421")</f>
        <v>0</v>
      </c>
      <c r="BH5" s="123">
        <f>COUNTIFS(veri!G:G,83,veri!I:I,"&gt;=1420",veri!I:I,"&lt;1421")</f>
        <v>0</v>
      </c>
      <c r="BI5" s="123">
        <f>COUNTIFS(veri!G:G,84,veri!I:I,"&gt;=1420",veri!I:I,"&lt;1421")</f>
        <v>0</v>
      </c>
      <c r="BJ5" s="123">
        <f>COUNTIFS(veri!G:G,85,veri!I:I,"&gt;=1420",veri!I:I,"&lt;1421")</f>
        <v>0</v>
      </c>
      <c r="BK5" s="123">
        <f>COUNTIFS(veri!G:G,86,veri!I:I,"&gt;=1420",veri!I:I,"&lt;1421")</f>
        <v>0</v>
      </c>
      <c r="BL5" s="123">
        <f>COUNTIFS(veri!G:G,87,veri!I:I,"&gt;=1420",veri!I:I,"&lt;1421")</f>
        <v>0</v>
      </c>
      <c r="BM5" s="123">
        <f>COUNTIFS(veri!G:G,88,veri!I:I,"&gt;=1420",veri!I:I,"&lt;1421")</f>
        <v>0</v>
      </c>
      <c r="BN5" s="123">
        <f>COUNTIFS(veri!G:G,89,veri!I:I,"&gt;=1420",veri!I:I,"&lt;1421")</f>
        <v>0</v>
      </c>
      <c r="BO5" s="123">
        <f>COUNTIFS(veri!G:G,90,veri!I:I,"&gt;=1420",veri!I:I,"&lt;1421")</f>
        <v>0</v>
      </c>
      <c r="BP5" s="123">
        <f>COUNTIFS(veri!G:G,91,veri!I:I,"&gt;=1420",veri!I:I,"&lt;1421")</f>
        <v>0</v>
      </c>
      <c r="BQ5" s="123">
        <f>COUNTIFS(veri!G:G,92,veri!I:I,"&gt;=1420",veri!I:I,"&lt;1421")</f>
        <v>0</v>
      </c>
      <c r="BR5" s="123">
        <f>COUNTIFS(veri!G:G,93,veri!I:I,"&gt;=1420",veri!I:I,"&lt;1421")</f>
        <v>0</v>
      </c>
      <c r="BS5" s="123">
        <f>COUNTIFS(veri!G:G,94,veri!I:I,"&gt;=1420",veri!I:I,"&lt;1421")</f>
        <v>0</v>
      </c>
      <c r="BT5" s="123">
        <f>COUNTIFS(veri!G:G,95,veri!I:I,"&gt;=1420",veri!I:I,"&lt;1421")</f>
        <v>0</v>
      </c>
      <c r="BU5" s="123">
        <f>COUNTIFS(veri!G:G,96,veri!I:I,"&gt;=1420",veri!I:I,"&lt;1421")</f>
        <v>0</v>
      </c>
      <c r="BV5" s="123">
        <f>COUNTIFS(veri!G:G,97,veri!I:I,"&gt;=1420",veri!I:I,"&lt;1421")</f>
        <v>0</v>
      </c>
      <c r="BW5" s="123">
        <f>COUNTIFS(veri!G:G,98,veri!I:I,"&gt;=1420",veri!I:I,"&lt;1421")</f>
        <v>0</v>
      </c>
      <c r="BX5" s="123">
        <f>COUNTIFS(veri!G:G,99,veri!I:I,"&gt;=1420",veri!I:I,"&lt;1421")</f>
        <v>0</v>
      </c>
      <c r="BY5" s="123">
        <f>COUNTIFS(veri!G:G,100,veri!I:I,"&gt;=1420",veri!I:I,"&lt;1421")</f>
        <v>0</v>
      </c>
      <c r="BZ5" s="123">
        <f>COUNTIFS(veri!G:G,101,veri!I:I,"&gt;=1420",veri!I:I,"&lt;1421")</f>
        <v>0</v>
      </c>
      <c r="CA5" s="123">
        <f>COUNTIFS(veri!G:G,102,veri!I:I,"&gt;=1420",veri!I:I,"&lt;1421")</f>
        <v>0</v>
      </c>
      <c r="CB5" s="123">
        <f>COUNTIFS(veri!G:G,103,veri!I:I,"&gt;=1420",veri!I:I,"&lt;1421")</f>
        <v>0</v>
      </c>
      <c r="CC5" s="123">
        <f>COUNTIFS(veri!G:G,104,veri!I:I,"&gt;=1420",veri!I:I,"&lt;1421")</f>
        <v>0</v>
      </c>
      <c r="CD5" s="123">
        <f>COUNTIFS(veri!G:G,105,veri!I:I,"&gt;=1420",veri!I:I,"&lt;1421")</f>
        <v>0</v>
      </c>
      <c r="CE5" s="121">
        <f>SUM(B5:CD5)</f>
        <v>0</v>
      </c>
      <c r="CF5" s="14"/>
      <c r="CG5" s="14"/>
      <c r="CH5" s="14"/>
      <c r="CI5" s="14"/>
      <c r="CJ5" s="14"/>
      <c r="CK5" s="14"/>
    </row>
    <row r="6" spans="1:89" ht="18" customHeight="1" x14ac:dyDescent="0.15">
      <c r="A6" s="120" t="s">
        <v>938</v>
      </c>
      <c r="B6" s="116">
        <f>COUNTIFS(veri!G:G,1,veri!I:I,"&gt;=1430",veri!I:I,"&lt;1431")</f>
        <v>0</v>
      </c>
      <c r="C6" s="116">
        <f>COUNTIFS(veri!G:G,2,veri!I:I,"&gt;=1430",veri!I:I,"&lt;1431")</f>
        <v>0</v>
      </c>
      <c r="D6" s="116">
        <f>COUNTIFS(veri!G:G,3,veri!I:I,"&gt;=1430",veri!I:I,"&lt;1431")</f>
        <v>0</v>
      </c>
      <c r="E6" s="116">
        <f>COUNTIFS(veri!G:G,4,veri!I:I,"&gt;=1430",veri!I:I,"&lt;1431")</f>
        <v>0</v>
      </c>
      <c r="F6" s="116">
        <f>COUNTIFS(veri!G:G,5,veri!I:I,"&gt;=1430",veri!I:I,"&lt;1431")</f>
        <v>0</v>
      </c>
      <c r="G6" s="116">
        <f>COUNTIFS(veri!G:G,6,veri!I:I,"&gt;=1430",veri!I:I,"&lt;1431")</f>
        <v>0</v>
      </c>
      <c r="H6" s="116">
        <f>COUNTIFS(veri!G:G,7,veri!I:I,"&gt;=1430",veri!I:I,"&lt;1431")</f>
        <v>0</v>
      </c>
      <c r="I6" s="116">
        <f>COUNTIFS(veri!G:G,8,veri!I:I,"&gt;=1430",veri!I:I,"&lt;1431")</f>
        <v>0</v>
      </c>
      <c r="J6" s="116">
        <f>COUNTIFS(veri!G:G,9,veri!I:I,"&gt;=1430",veri!I:I,"&lt;1431")</f>
        <v>0</v>
      </c>
      <c r="K6" s="116">
        <f>COUNTIFS(veri!G:G,10,veri!I:I,"&gt;=1430",veri!I:I,"&lt;1431")</f>
        <v>0</v>
      </c>
      <c r="L6" s="116">
        <f>COUNTIFS(veri!G:G,11,veri!I:I,"&gt;=1430",veri!I:I,"&lt;1431")</f>
        <v>0</v>
      </c>
      <c r="M6" s="116">
        <f>COUNTIFS(veri!G:G,12,veri!I:I,"&gt;=1430",veri!I:I,"&lt;1431")</f>
        <v>0</v>
      </c>
      <c r="N6" s="116">
        <f>COUNTIFS(veri!G:G,13,veri!I:I,"&gt;=1430",veri!I:I,"&lt;1431")</f>
        <v>0</v>
      </c>
      <c r="O6" s="116">
        <f>COUNTIFS(veri!G:G,14,veri!I:I,"&gt;=1430",veri!I:I,"&lt;1431")</f>
        <v>0</v>
      </c>
      <c r="P6" s="116">
        <f>COUNTIFS(veri!G:G,15,veri!I:I,"&gt;=1430",veri!I:I,"&lt;1431")</f>
        <v>0</v>
      </c>
      <c r="Q6" s="116">
        <f>COUNTIFS(veri!G:G,16,veri!I:I,"&gt;=1430",veri!I:I,"&lt;1431")</f>
        <v>0</v>
      </c>
      <c r="R6" s="116">
        <f>COUNTIFS(veri!G:G,17,veri!I:I,"&gt;=1430",veri!I:I,"&lt;1431")</f>
        <v>0</v>
      </c>
      <c r="S6" s="116">
        <f>COUNTIFS(veri!G:G,18,veri!I:I,"&gt;=1430",veri!I:I,"&lt;1431")</f>
        <v>0</v>
      </c>
      <c r="T6" s="116">
        <f>COUNTIFS(veri!G:G,19,veri!I:I,"&gt;=1430",veri!I:I,"&lt;1431")</f>
        <v>0</v>
      </c>
      <c r="U6" s="116">
        <f>COUNTIFS(veri!G:G,20,veri!I:I,"&gt;=1430",veri!I:I,"&lt;1431")</f>
        <v>0</v>
      </c>
      <c r="V6" s="116">
        <f>COUNTIFS(veri!G:G,21,veri!I:I,"&gt;=1430",veri!I:I,"&lt;1431")</f>
        <v>0</v>
      </c>
      <c r="W6" s="116">
        <f>COUNTIFS(veri!G:G,22,veri!I:I,"&gt;=1430",veri!I:I,"&lt;1431")</f>
        <v>0</v>
      </c>
      <c r="X6" s="116">
        <f>COUNTIFS(veri!G:G,23,veri!I:I,"&gt;=1430",veri!I:I,"&lt;1431")</f>
        <v>0</v>
      </c>
      <c r="Y6" s="116">
        <f>COUNTIFS(veri!G:G,24,veri!I:I,"&gt;=1430",veri!I:I,"&lt;1431")</f>
        <v>0</v>
      </c>
      <c r="Z6" s="116">
        <f>COUNTIFS(veri!G:G,25,veri!I:I,"&gt;=1430",veri!I:I,"&lt;1431")</f>
        <v>0</v>
      </c>
      <c r="AA6" s="116">
        <f>COUNTIFS(veri!G:G,26,veri!I:I,"&gt;=1430",veri!I:I,"&lt;1431")</f>
        <v>0</v>
      </c>
      <c r="AB6" s="116">
        <f>COUNTIFS(veri!G:G,51,veri!I:I,"&gt;=1430",veri!I:I,"&lt;1431")</f>
        <v>0</v>
      </c>
      <c r="AC6" s="116">
        <f>COUNTIFS(veri!G:G,52,veri!I:I,"&gt;=1430",veri!I:I,"&lt;1431")</f>
        <v>0</v>
      </c>
      <c r="AD6" s="116">
        <f>COUNTIFS(veri!G:G,53,veri!I:I,"&gt;=1430",veri!I:I,"&lt;1431")</f>
        <v>0</v>
      </c>
      <c r="AE6" s="116">
        <f>COUNTIFS(veri!G:G,54,veri!I:I,"&gt;=1430",veri!I:I,"&lt;1431")</f>
        <v>0</v>
      </c>
      <c r="AF6" s="116">
        <f>COUNTIFS(veri!G:G,55,veri!I:I,"&gt;=1430",veri!I:I,"&lt;1431")</f>
        <v>0</v>
      </c>
      <c r="AG6" s="116">
        <f>COUNTIFS(veri!G:G,56,veri!I:I,"&gt;=1430",veri!I:I,"&lt;1431")</f>
        <v>0</v>
      </c>
      <c r="AH6" s="116">
        <f>COUNTIFS(veri!G:G,57,veri!I:I,"&gt;=1430",veri!I:I,"&lt;1431")</f>
        <v>0</v>
      </c>
      <c r="AI6" s="127">
        <f>COUNTIFS(veri!G:G,58,veri!I:I,"&gt;=1430",veri!I:I,"&lt;1431")</f>
        <v>0</v>
      </c>
      <c r="AJ6" s="116">
        <f>COUNTIFS(veri!G:G,59,veri!I:I,"&gt;=1430",veri!I:I,"&lt;1431")</f>
        <v>0</v>
      </c>
      <c r="AK6" s="116">
        <f>COUNTIFS(veri!G:G,60,veri!I:I,"&gt;=1430",veri!I:I,"&lt;1431")</f>
        <v>0</v>
      </c>
      <c r="AL6" s="116">
        <f>COUNTIFS(veri!G:G,61,veri!I:I,"&gt;=1430",veri!I:I,"&lt;1431")</f>
        <v>0</v>
      </c>
      <c r="AM6" s="116">
        <f>COUNTIFS(veri!G:G,62,veri!I:I,"&gt;=1430",veri!I:I,"&lt;1431")</f>
        <v>0</v>
      </c>
      <c r="AN6" s="116">
        <f>COUNTIFS(veri!G:G,63,veri!I:I,"&gt;=1430",veri!I:I,"&lt;1431")</f>
        <v>0</v>
      </c>
      <c r="AO6" s="116">
        <f>COUNTIFS(veri!G:G,64,veri!I:I,"&gt;=1430",veri!I:I,"&lt;1431")</f>
        <v>0</v>
      </c>
      <c r="AP6" s="116">
        <f>COUNTIFS(veri!G:G,65,veri!I:I,"&gt;=1430",veri!I:I,"&lt;1431")</f>
        <v>0</v>
      </c>
      <c r="AQ6" s="116">
        <f>COUNTIFS(veri!G:G,66,veri!I:I,"&gt;=1430",veri!I:I,"&lt;1431")</f>
        <v>0</v>
      </c>
      <c r="AR6" s="116">
        <f>COUNTIFS(veri!G:G,67,veri!I:I,"&gt;=1430",veri!I:I,"&lt;1431")</f>
        <v>0</v>
      </c>
      <c r="AS6" s="116">
        <f>COUNTIFS(veri!G:G,68,veri!I:I,"&gt;=1430",veri!I:I,"&lt;1431")</f>
        <v>0</v>
      </c>
      <c r="AT6" s="116">
        <f>COUNTIFS(veri!G:G,69,veri!I:I,"&gt;=1430",veri!I:I,"&lt;1431")</f>
        <v>0</v>
      </c>
      <c r="AU6" s="116">
        <f>COUNTIFS(veri!G:G,70,veri!I:I,"&gt;=1430",veri!I:I,"&lt;1431")</f>
        <v>0</v>
      </c>
      <c r="AV6" s="116">
        <f>COUNTIFS(veri!G:G,71,veri!I:I,"&gt;=1430",veri!I:I,"&lt;1431")</f>
        <v>0</v>
      </c>
      <c r="AW6" s="116">
        <f>COUNTIFS(veri!G:G,72,veri!I:I,"&gt;=1430",veri!I:I,"&lt;1431")</f>
        <v>0</v>
      </c>
      <c r="AX6" s="116">
        <f>COUNTIFS(veri!G:G,73,veri!I:I,"&gt;=1430",veri!I:I,"&lt;1431")</f>
        <v>0</v>
      </c>
      <c r="AY6" s="116">
        <f>COUNTIFS(veri!G:G,74,veri!I:I,"&gt;=1430",veri!I:I,"&lt;1431")</f>
        <v>0</v>
      </c>
      <c r="AZ6" s="116">
        <f>COUNTIFS(veri!G:G,75,veri!I:I,"&gt;=1430",veri!I:I,"&lt;1431")</f>
        <v>0</v>
      </c>
      <c r="BA6" s="116">
        <f>COUNTIFS(veri!G:G,76,veri!I:I,"&gt;=1430",veri!I:I,"&lt;1431")</f>
        <v>0</v>
      </c>
      <c r="BB6" s="116">
        <f>COUNTIFS(veri!G:G,77,veri!I:I,"&gt;=1430",veri!I:I,"&lt;1431")</f>
        <v>0</v>
      </c>
      <c r="BC6" s="116">
        <f>COUNTIFS(veri!G:G,78,veri!I:I,"&gt;=1430",veri!I:I,"&lt;1431")</f>
        <v>0</v>
      </c>
      <c r="BD6" s="116">
        <f>COUNTIFS(veri!G:G,79,veri!I:I,"&gt;=1430",veri!I:I,"&lt;1431")</f>
        <v>0</v>
      </c>
      <c r="BE6" s="116">
        <f>COUNTIFS(veri!G:G,80,veri!I:I,"&gt;=1430",veri!I:I,"&lt;1431")</f>
        <v>0</v>
      </c>
      <c r="BF6" s="116">
        <f>COUNTIFS(veri!G:G,81,veri!I:I,"&gt;=1430",veri!I:I,"&lt;1431")</f>
        <v>0</v>
      </c>
      <c r="BG6" s="116">
        <f>COUNTIFS(veri!G:G,82,veri!I:I,"&gt;=1430",veri!I:I,"&lt;1431")</f>
        <v>0</v>
      </c>
      <c r="BH6" s="116">
        <f>COUNTIFS(veri!G:G,83,veri!I:I,"&gt;=1430",veri!I:I,"&lt;1431")</f>
        <v>0</v>
      </c>
      <c r="BI6" s="116">
        <f>COUNTIFS(veri!G:G,84,veri!I:I,"&gt;=1430",veri!I:I,"&lt;1431")</f>
        <v>0</v>
      </c>
      <c r="BJ6" s="116">
        <f>COUNTIFS(veri!G:G,85,veri!I:I,"&gt;=1430",veri!I:I,"&lt;1431")</f>
        <v>0</v>
      </c>
      <c r="BK6" s="116">
        <f>COUNTIFS(veri!G:G,86,veri!I:I,"&gt;=1430",veri!I:I,"&lt;1431")</f>
        <v>0</v>
      </c>
      <c r="BL6" s="116">
        <f>COUNTIFS(veri!G:G,87,veri!I:I,"&gt;=1430",veri!I:I,"&lt;1431")</f>
        <v>0</v>
      </c>
      <c r="BM6" s="116">
        <f>COUNTIFS(veri!G:G,88,veri!I:I,"&gt;=1430",veri!I:I,"&lt;1431")</f>
        <v>0</v>
      </c>
      <c r="BN6" s="116">
        <f>COUNTIFS(veri!G:G,89,veri!I:I,"&gt;=1430",veri!I:I,"&lt;1431")</f>
        <v>0</v>
      </c>
      <c r="BO6" s="116">
        <f>COUNTIFS(veri!G:G,90,veri!I:I,"&gt;=1430",veri!I:I,"&lt;1431")</f>
        <v>0</v>
      </c>
      <c r="BP6" s="116">
        <f>COUNTIFS(veri!G:G,91,veri!I:I,"&gt;=1430",veri!I:I,"&lt;1431")</f>
        <v>0</v>
      </c>
      <c r="BQ6" s="116">
        <f>COUNTIFS(veri!G:G,92,veri!I:I,"&gt;=1430",veri!I:I,"&lt;1431")</f>
        <v>0</v>
      </c>
      <c r="BR6" s="116">
        <f>COUNTIFS(veri!G:G,93,veri!I:I,"&gt;=1430",veri!I:I,"&lt;1431")</f>
        <v>0</v>
      </c>
      <c r="BS6" s="116">
        <f>COUNTIFS(veri!G:G,94,veri!I:I,"&gt;=1430",veri!I:I,"&lt;1431")</f>
        <v>0</v>
      </c>
      <c r="BT6" s="116">
        <f>COUNTIFS(veri!G:G,95,veri!I:I,"&gt;=1430",veri!I:I,"&lt;1431")</f>
        <v>0</v>
      </c>
      <c r="BU6" s="116">
        <f>COUNTIFS(veri!G:G,96,veri!I:I,"&gt;=1430",veri!I:I,"&lt;1431")</f>
        <v>0</v>
      </c>
      <c r="BV6" s="116">
        <f>COUNTIFS(veri!G:G,97,veri!I:I,"&gt;=1430",veri!I:I,"&lt;1431")</f>
        <v>0</v>
      </c>
      <c r="BW6" s="116">
        <f>COUNTIFS(veri!G:G,98,veri!I:I,"&gt;=1430",veri!I:I,"&lt;1431")</f>
        <v>0</v>
      </c>
      <c r="BX6" s="116">
        <f>COUNTIFS(veri!G:G,99,veri!I:I,"&gt;=1430",veri!I:I,"&lt;1431")</f>
        <v>0</v>
      </c>
      <c r="BY6" s="116">
        <f>COUNTIFS(veri!G:G,100,veri!I:I,"&gt;=1430",veri!I:I,"&lt;1431")</f>
        <v>0</v>
      </c>
      <c r="BZ6" s="116">
        <f>COUNTIFS(veri!G:G,101,veri!I:I,"&gt;=1430",veri!I:I,"&lt;1431")</f>
        <v>0</v>
      </c>
      <c r="CA6" s="116">
        <f>COUNTIFS(veri!G:G,102,veri!I:I,"&gt;=1430",veri!I:I,"&lt;1431")</f>
        <v>0</v>
      </c>
      <c r="CB6" s="116">
        <f>COUNTIFS(veri!G:G,103,veri!I:I,"&gt;=1430",veri!I:I,"&lt;1431")</f>
        <v>0</v>
      </c>
      <c r="CC6" s="116">
        <f>COUNTIFS(veri!G:G,104,veri!I:I,"&gt;=1430",veri!I:I,"&lt;1431")</f>
        <v>0</v>
      </c>
      <c r="CD6" s="116">
        <f>COUNTIFS(veri!G:G,105,veri!I:I,"&gt;=1430",veri!I:I,"&lt;1431")</f>
        <v>0</v>
      </c>
      <c r="CE6" s="121">
        <f>SUM(B6:CD6)</f>
        <v>0</v>
      </c>
      <c r="CF6" s="14"/>
      <c r="CG6" s="14"/>
      <c r="CH6" s="14"/>
      <c r="CI6" s="14"/>
      <c r="CJ6" s="14"/>
      <c r="CK6" s="14"/>
    </row>
    <row r="7" spans="1:89" ht="18" customHeight="1" x14ac:dyDescent="0.15">
      <c r="A7" s="122" t="s">
        <v>939</v>
      </c>
      <c r="B7" s="123">
        <f>COUNTIFS(veri!G:G,1,veri!I:I,"&gt;=1440",veri!I:I,"&lt;1441")</f>
        <v>0</v>
      </c>
      <c r="C7" s="123">
        <f>COUNTIFS(veri!G:G,2,veri!I:I,"&gt;=1440",veri!I:I,"&lt;1441")</f>
        <v>0</v>
      </c>
      <c r="D7" s="123">
        <f>COUNTIFS(veri!G:G,3,veri!I:I,"&gt;=1440",veri!I:I,"&lt;1441")</f>
        <v>0</v>
      </c>
      <c r="E7" s="123">
        <f>COUNTIFS(veri!G:G,4,veri!I:I,"&gt;=1440",veri!I:I,"&lt;1441")</f>
        <v>0</v>
      </c>
      <c r="F7" s="123">
        <f>COUNTIFS(veri!G:G,5,veri!I:I,"&gt;=1440",veri!I:I,"&lt;1441")</f>
        <v>0</v>
      </c>
      <c r="G7" s="123">
        <f>COUNTIFS(veri!G:G,6,veri!I:I,"&gt;=1440",veri!I:I,"&lt;1441")</f>
        <v>0</v>
      </c>
      <c r="H7" s="123">
        <f>COUNTIFS(veri!G:G,7,veri!I:I,"&gt;=1440",veri!I:I,"&lt;1441")</f>
        <v>0</v>
      </c>
      <c r="I7" s="123">
        <f>COUNTIFS(veri!G:G,8,veri!I:I,"&gt;=1440",veri!I:I,"&lt;1441")</f>
        <v>0</v>
      </c>
      <c r="J7" s="123">
        <f>COUNTIFS(veri!G:G,9,veri!I:I,"&gt;=1440",veri!I:I,"&lt;1441")</f>
        <v>0</v>
      </c>
      <c r="K7" s="123">
        <f>COUNTIFS(veri!G:G,10,veri!I:I,"&gt;=1440",veri!I:I,"&lt;1441")</f>
        <v>0</v>
      </c>
      <c r="L7" s="123">
        <f>COUNTIFS(veri!G:G,11,veri!I:I,"&gt;=1440",veri!I:I,"&lt;1441")</f>
        <v>0</v>
      </c>
      <c r="M7" s="123">
        <f>COUNTIFS(veri!G:G,12,veri!I:I,"&gt;=1440",veri!I:I,"&lt;1441")</f>
        <v>0</v>
      </c>
      <c r="N7" s="123">
        <f>COUNTIFS(veri!G:G,13,veri!I:I,"&gt;=1440",veri!I:I,"&lt;1441")</f>
        <v>0</v>
      </c>
      <c r="O7" s="123">
        <f>COUNTIFS(veri!G:G,14,veri!I:I,"&gt;=1440",veri!I:I,"&lt;1441")</f>
        <v>0</v>
      </c>
      <c r="P7" s="123">
        <f>COUNTIFS(veri!G:G,15,veri!I:I,"&gt;=1440",veri!I:I,"&lt;1441")</f>
        <v>0</v>
      </c>
      <c r="Q7" s="123">
        <f>COUNTIFS(veri!G:G,16,veri!I:I,"&gt;=1440",veri!I:I,"&lt;1441")</f>
        <v>0</v>
      </c>
      <c r="R7" s="123">
        <f>COUNTIFS(veri!G:G,17,veri!I:I,"&gt;=1440",veri!I:I,"&lt;1441")</f>
        <v>0</v>
      </c>
      <c r="S7" s="123">
        <f>COUNTIFS(veri!G:G,18,veri!I:I,"&gt;=1440",veri!I:I,"&lt;1441")</f>
        <v>0</v>
      </c>
      <c r="T7" s="123">
        <f>COUNTIFS(veri!G:G,19,veri!I:I,"&gt;=1440",veri!I:I,"&lt;1441")</f>
        <v>0</v>
      </c>
      <c r="U7" s="123">
        <f>COUNTIFS(veri!G:G,20,veri!I:I,"&gt;=1440",veri!I:I,"&lt;1441")</f>
        <v>0</v>
      </c>
      <c r="V7" s="123">
        <f>COUNTIFS(veri!G:G,21,veri!I:I,"&gt;=1440",veri!I:I,"&lt;1441")</f>
        <v>0</v>
      </c>
      <c r="W7" s="123">
        <f>COUNTIFS(veri!G:G,22,veri!I:I,"&gt;=1440",veri!I:I,"&lt;1441")</f>
        <v>0</v>
      </c>
      <c r="X7" s="123">
        <f>COUNTIFS(veri!G:G,23,veri!I:I,"&gt;=1440",veri!I:I,"&lt;1441")</f>
        <v>0</v>
      </c>
      <c r="Y7" s="123">
        <f>COUNTIFS(veri!G:G,24,veri!I:I,"&gt;=1440",veri!I:I,"&lt;1441")</f>
        <v>0</v>
      </c>
      <c r="Z7" s="123">
        <f>COUNTIFS(veri!G:G,25,veri!I:I,"&gt;=1440",veri!I:I,"&lt;1441")</f>
        <v>0</v>
      </c>
      <c r="AA7" s="123">
        <f>COUNTIFS(veri!G:G,26,veri!I:I,"&gt;=1440",veri!I:I,"&lt;1441")</f>
        <v>0</v>
      </c>
      <c r="AB7" s="123">
        <f>COUNTIFS(veri!G:G,51,veri!I:I,"&gt;=1440",veri!I:I,"&lt;1441")</f>
        <v>0</v>
      </c>
      <c r="AC7" s="123">
        <f>COUNTIFS(veri!G:G,52,veri!I:I,"&gt;=1440",veri!I:I,"&lt;1441")</f>
        <v>0</v>
      </c>
      <c r="AD7" s="123">
        <f>COUNTIFS(veri!G:G,53,veri!I:I,"&gt;=1440",veri!I:I,"&lt;1441")</f>
        <v>0</v>
      </c>
      <c r="AE7" s="123">
        <f>COUNTIFS(veri!G:G,54,veri!I:I,"&gt;=1440",veri!I:I,"&lt;1441")</f>
        <v>0</v>
      </c>
      <c r="AF7" s="123">
        <f>COUNTIFS(veri!G:G,55,veri!I:I,"&gt;=1440",veri!I:I,"&lt;1441")</f>
        <v>0</v>
      </c>
      <c r="AG7" s="123">
        <f>COUNTIFS(veri!G:G,56,veri!I:I,"&gt;=1440",veri!I:I,"&lt;1441")</f>
        <v>0</v>
      </c>
      <c r="AH7" s="123">
        <f>COUNTIFS(veri!G:G,57,veri!I:I,"&gt;=1440",veri!I:I,"&lt;1441")</f>
        <v>0</v>
      </c>
      <c r="AI7" s="124">
        <f>COUNTIFS(veri!G:G,58,veri!I:I,"&gt;=1440",veri!I:I,"&lt;1441")</f>
        <v>0</v>
      </c>
      <c r="AJ7" s="123">
        <f>COUNTIFS(veri!G:G,59,veri!I:I,"&gt;=1440",veri!I:I,"&lt;1441")</f>
        <v>0</v>
      </c>
      <c r="AK7" s="123">
        <f>COUNTIFS(veri!G:G,60,veri!I:I,"&gt;=1440",veri!I:I,"&lt;1441")</f>
        <v>0</v>
      </c>
      <c r="AL7" s="123">
        <f>COUNTIFS(veri!G:G,61,veri!I:I,"&gt;=1440",veri!I:I,"&lt;1441")</f>
        <v>0</v>
      </c>
      <c r="AM7" s="123">
        <f>COUNTIFS(veri!G:G,62,veri!I:I,"&gt;=1440",veri!I:I,"&lt;1441")</f>
        <v>0</v>
      </c>
      <c r="AN7" s="123">
        <f>COUNTIFS(veri!G:G,63,veri!I:I,"&gt;=1440",veri!I:I,"&lt;1441")</f>
        <v>0</v>
      </c>
      <c r="AO7" s="123">
        <f>COUNTIFS(veri!G:G,64,veri!I:I,"&gt;=1440",veri!I:I,"&lt;1441")</f>
        <v>0</v>
      </c>
      <c r="AP7" s="123">
        <f>COUNTIFS(veri!G:G,65,veri!I:I,"&gt;=1440",veri!I:I,"&lt;1441")</f>
        <v>0</v>
      </c>
      <c r="AQ7" s="123">
        <f>COUNTIFS(veri!G:G,66,veri!I:I,"&gt;=1440",veri!I:I,"&lt;1441")</f>
        <v>0</v>
      </c>
      <c r="AR7" s="123">
        <f>COUNTIFS(veri!G:G,67,veri!I:I,"&gt;=1440",veri!I:I,"&lt;1441")</f>
        <v>0</v>
      </c>
      <c r="AS7" s="123">
        <f>COUNTIFS(veri!G:G,68,veri!I:I,"&gt;=1440",veri!I:I,"&lt;1441")</f>
        <v>0</v>
      </c>
      <c r="AT7" s="123">
        <f>COUNTIFS(veri!G:G,69,veri!I:I,"&gt;=1440",veri!I:I,"&lt;1441")</f>
        <v>0</v>
      </c>
      <c r="AU7" s="123">
        <f>COUNTIFS(veri!G:G,70,veri!I:I,"&gt;=1440",veri!I:I,"&lt;1441")</f>
        <v>0</v>
      </c>
      <c r="AV7" s="123">
        <f>COUNTIFS(veri!G:G,71,veri!I:I,"&gt;=1440",veri!I:I,"&lt;1441")</f>
        <v>0</v>
      </c>
      <c r="AW7" s="123">
        <f>COUNTIFS(veri!G:G,72,veri!I:I,"&gt;=1440",veri!I:I,"&lt;1441")</f>
        <v>0</v>
      </c>
      <c r="AX7" s="123">
        <f>COUNTIFS(veri!G:G,73,veri!I:I,"&gt;=1440",veri!I:I,"&lt;1441")</f>
        <v>0</v>
      </c>
      <c r="AY7" s="123">
        <f>COUNTIFS(veri!G:G,74,veri!I:I,"&gt;=1440",veri!I:I,"&lt;1441")</f>
        <v>0</v>
      </c>
      <c r="AZ7" s="123">
        <f>COUNTIFS(veri!G:G,75,veri!I:I,"&gt;=1440",veri!I:I,"&lt;1441")</f>
        <v>0</v>
      </c>
      <c r="BA7" s="123">
        <f>COUNTIFS(veri!G:G,76,veri!I:I,"&gt;=1440",veri!I:I,"&lt;1441")</f>
        <v>0</v>
      </c>
      <c r="BB7" s="123">
        <f>COUNTIFS(veri!G:G,77,veri!I:I,"&gt;=1440",veri!I:I,"&lt;1441")</f>
        <v>0</v>
      </c>
      <c r="BC7" s="123">
        <f>COUNTIFS(veri!G:G,78,veri!I:I,"&gt;=1440",veri!I:I,"&lt;1441")</f>
        <v>0</v>
      </c>
      <c r="BD7" s="123">
        <f>COUNTIFS(veri!G:G,79,veri!I:I,"&gt;=1440",veri!I:I,"&lt;1441")</f>
        <v>0</v>
      </c>
      <c r="BE7" s="123">
        <f>COUNTIFS(veri!G:G,80,veri!I:I,"&gt;=1440",veri!I:I,"&lt;1441")</f>
        <v>0</v>
      </c>
      <c r="BF7" s="123">
        <f>COUNTIFS(veri!G:G,81,veri!I:I,"&gt;=1440",veri!I:I,"&lt;1441")</f>
        <v>0</v>
      </c>
      <c r="BG7" s="123">
        <f>COUNTIFS(veri!G:G,82,veri!I:I,"&gt;=1440",veri!I:I,"&lt;1441")</f>
        <v>0</v>
      </c>
      <c r="BH7" s="123">
        <f>COUNTIFS(veri!G:G,83,veri!I:I,"&gt;=1440",veri!I:I,"&lt;1441")</f>
        <v>0</v>
      </c>
      <c r="BI7" s="123">
        <f>COUNTIFS(veri!G:G,84,veri!I:I,"&gt;=1440",veri!I:I,"&lt;1441")</f>
        <v>0</v>
      </c>
      <c r="BJ7" s="123">
        <f>COUNTIFS(veri!G:G,85,veri!I:I,"&gt;=1440",veri!I:I,"&lt;1441")</f>
        <v>0</v>
      </c>
      <c r="BK7" s="123">
        <f>COUNTIFS(veri!G:G,86,veri!I:I,"&gt;=1440",veri!I:I,"&lt;1441")</f>
        <v>0</v>
      </c>
      <c r="BL7" s="123">
        <f>COUNTIFS(veri!G:G,87,veri!I:I,"&gt;=1440",veri!I:I,"&lt;1441")</f>
        <v>0</v>
      </c>
      <c r="BM7" s="123">
        <f>COUNTIFS(veri!G:G,88,veri!I:I,"&gt;=1440",veri!I:I,"&lt;1441")</f>
        <v>0</v>
      </c>
      <c r="BN7" s="123">
        <f>COUNTIFS(veri!G:G,89,veri!I:I,"&gt;=1440",veri!I:I,"&lt;1441")</f>
        <v>0</v>
      </c>
      <c r="BO7" s="123">
        <f>COUNTIFS(veri!G:G,90,veri!I:I,"&gt;=1440",veri!I:I,"&lt;1441")</f>
        <v>0</v>
      </c>
      <c r="BP7" s="123">
        <f>COUNTIFS(veri!G:G,91,veri!I:I,"&gt;=1440",veri!I:I,"&lt;1441")</f>
        <v>0</v>
      </c>
      <c r="BQ7" s="123">
        <f>COUNTIFS(veri!G:G,92,veri!I:I,"&gt;=1440",veri!I:I,"&lt;1441")</f>
        <v>0</v>
      </c>
      <c r="BR7" s="123">
        <f>COUNTIFS(veri!G:G,93,veri!I:I,"&gt;=1440",veri!I:I,"&lt;1441")</f>
        <v>0</v>
      </c>
      <c r="BS7" s="123">
        <f>COUNTIFS(veri!G:G,94,veri!I:I,"&gt;=1440",veri!I:I,"&lt;1441")</f>
        <v>0</v>
      </c>
      <c r="BT7" s="123">
        <f>COUNTIFS(veri!G:G,95,veri!I:I,"&gt;=1440",veri!I:I,"&lt;1441")</f>
        <v>0</v>
      </c>
      <c r="BU7" s="123">
        <f>COUNTIFS(veri!G:G,96,veri!I:I,"&gt;=1440",veri!I:I,"&lt;1441")</f>
        <v>0</v>
      </c>
      <c r="BV7" s="123">
        <f>COUNTIFS(veri!G:G,97,veri!I:I,"&gt;=1440",veri!I:I,"&lt;1441")</f>
        <v>0</v>
      </c>
      <c r="BW7" s="123">
        <f>COUNTIFS(veri!G:G,98,veri!I:I,"&gt;=1440",veri!I:I,"&lt;1441")</f>
        <v>0</v>
      </c>
      <c r="BX7" s="123">
        <f>COUNTIFS(veri!G:G,99,veri!I:I,"&gt;=1440",veri!I:I,"&lt;1441")</f>
        <v>0</v>
      </c>
      <c r="BY7" s="123">
        <f>COUNTIFS(veri!G:G,100,veri!I:I,"&gt;=1440",veri!I:I,"&lt;1441")</f>
        <v>0</v>
      </c>
      <c r="BZ7" s="123">
        <f>COUNTIFS(veri!G:G,101,veri!I:I,"&gt;=1440",veri!I:I,"&lt;1441")</f>
        <v>0</v>
      </c>
      <c r="CA7" s="123">
        <f>COUNTIFS(veri!G:G,102,veri!I:I,"&gt;=1440",veri!I:I,"&lt;1441")</f>
        <v>0</v>
      </c>
      <c r="CB7" s="123">
        <f>COUNTIFS(veri!G:G,103,veri!I:I,"&gt;=1440",veri!I:I,"&lt;1441")</f>
        <v>0</v>
      </c>
      <c r="CC7" s="123">
        <f>COUNTIFS(veri!G:G,104,veri!I:I,"&gt;=1440",veri!I:I,"&lt;1441")</f>
        <v>0</v>
      </c>
      <c r="CD7" s="123">
        <f>COUNTIFS(veri!G:G,105,veri!I:I,"&gt;=1440",veri!I:I,"&lt;1441")</f>
        <v>0</v>
      </c>
      <c r="CE7" s="121">
        <f>SUM(B7:CD7)</f>
        <v>0</v>
      </c>
      <c r="CF7" s="14"/>
      <c r="CG7" s="14"/>
      <c r="CH7" s="14"/>
      <c r="CI7" s="14"/>
      <c r="CJ7" s="14"/>
      <c r="CK7" s="14"/>
    </row>
    <row r="8" spans="1:89" ht="18" customHeight="1" x14ac:dyDescent="0.15">
      <c r="A8" s="120" t="s">
        <v>613</v>
      </c>
      <c r="B8" s="116">
        <f>COUNTIFS(veri!G:G,1,veri!I:I,"&gt;=1450",veri!I:I,"&lt;1451")</f>
        <v>0</v>
      </c>
      <c r="C8" s="116">
        <f>COUNTIFS(veri!G:G,2,veri!I:I,"&gt;=1450",veri!I:I,"&lt;1451")</f>
        <v>0</v>
      </c>
      <c r="D8" s="116">
        <f>COUNTIFS(veri!G:G,3,veri!I:I,"&gt;=1450",veri!I:I,"&lt;1451")</f>
        <v>0</v>
      </c>
      <c r="E8" s="116">
        <f>COUNTIFS(veri!G:G,4,veri!I:I,"&gt;=1450",veri!I:I,"&lt;1451")</f>
        <v>0</v>
      </c>
      <c r="F8" s="116">
        <f>COUNTIFS(veri!G:G,5,veri!I:I,"&gt;=1450",veri!I:I,"&lt;1451")</f>
        <v>0</v>
      </c>
      <c r="G8" s="116">
        <f>COUNTIFS(veri!G:G,6,veri!I:I,"&gt;=1450",veri!I:I,"&lt;1451")</f>
        <v>0</v>
      </c>
      <c r="H8" s="116">
        <f>COUNTIFS(veri!G:G,7,veri!I:I,"&gt;=1450",veri!I:I,"&lt;1451")</f>
        <v>0</v>
      </c>
      <c r="I8" s="116">
        <f>COUNTIFS(veri!G:G,8,veri!I:I,"&gt;=1450",veri!I:I,"&lt;1451")</f>
        <v>0</v>
      </c>
      <c r="J8" s="116">
        <f>COUNTIFS(veri!G:G,9,veri!I:I,"&gt;=1450",veri!I:I,"&lt;1451")</f>
        <v>0</v>
      </c>
      <c r="K8" s="116">
        <f>COUNTIFS(veri!G:G,10,veri!I:I,"&gt;=1450",veri!I:I,"&lt;1451")</f>
        <v>0</v>
      </c>
      <c r="L8" s="116">
        <f>COUNTIFS(veri!G:G,11,veri!I:I,"&gt;=1450",veri!I:I,"&lt;1451")</f>
        <v>0</v>
      </c>
      <c r="M8" s="116">
        <f>COUNTIFS(veri!G:G,12,veri!I:I,"&gt;=1450",veri!I:I,"&lt;1451")</f>
        <v>0</v>
      </c>
      <c r="N8" s="116">
        <f>COUNTIFS(veri!G:G,13,veri!I:I,"&gt;=1450",veri!I:I,"&lt;1451")</f>
        <v>0</v>
      </c>
      <c r="O8" s="116">
        <f>COUNTIFS(veri!G:G,14,veri!I:I,"&gt;=1450",veri!I:I,"&lt;1451")</f>
        <v>0</v>
      </c>
      <c r="P8" s="116">
        <f>COUNTIFS(veri!G:G,15,veri!I:I,"&gt;=1450",veri!I:I,"&lt;1451")</f>
        <v>0</v>
      </c>
      <c r="Q8" s="116">
        <f>COUNTIFS(veri!G:G,16,veri!I:I,"&gt;=1450",veri!I:I,"&lt;1451")</f>
        <v>0</v>
      </c>
      <c r="R8" s="116">
        <f>COUNTIFS(veri!G:G,17,veri!I:I,"&gt;=1450",veri!I:I,"&lt;1451")</f>
        <v>0</v>
      </c>
      <c r="S8" s="116">
        <f>COUNTIFS(veri!G:G,18,veri!I:I,"&gt;=1450",veri!I:I,"&lt;1451")</f>
        <v>0</v>
      </c>
      <c r="T8" s="116">
        <f>COUNTIFS(veri!G:G,19,veri!I:I,"&gt;=1450",veri!I:I,"&lt;1451")</f>
        <v>0</v>
      </c>
      <c r="U8" s="116">
        <f>COUNTIFS(veri!G:G,20,veri!I:I,"&gt;=1450",veri!I:I,"&lt;1451")</f>
        <v>0</v>
      </c>
      <c r="V8" s="116">
        <f>COUNTIFS(veri!G:G,21,veri!I:I,"&gt;=1450",veri!I:I,"&lt;1451")</f>
        <v>0</v>
      </c>
      <c r="W8" s="116">
        <f>COUNTIFS(veri!G:G,22,veri!I:I,"&gt;=1450",veri!I:I,"&lt;1451")</f>
        <v>0</v>
      </c>
      <c r="X8" s="116">
        <f>COUNTIFS(veri!G:G,23,veri!I:I,"&gt;=1450",veri!I:I,"&lt;1451")</f>
        <v>0</v>
      </c>
      <c r="Y8" s="116">
        <f>COUNTIFS(veri!G:G,24,veri!I:I,"&gt;=1450",veri!I:I,"&lt;1451")</f>
        <v>0</v>
      </c>
      <c r="Z8" s="116">
        <f>COUNTIFS(veri!G:G,25,veri!I:I,"&gt;=1450",veri!I:I,"&lt;1451")</f>
        <v>0</v>
      </c>
      <c r="AA8" s="116">
        <f>COUNTIFS(veri!G:G,26,veri!I:I,"&gt;=1450",veri!I:I,"&lt;1451")</f>
        <v>0</v>
      </c>
      <c r="AB8" s="116">
        <f>COUNTIFS(veri!G:G,51,veri!I:I,"&gt;=1450",veri!I:I,"&lt;1451")</f>
        <v>0</v>
      </c>
      <c r="AC8" s="116">
        <f>COUNTIFS(veri!G:G,52,veri!I:I,"&gt;=1450",veri!I:I,"&lt;1451")</f>
        <v>0</v>
      </c>
      <c r="AD8" s="116">
        <f>COUNTIFS(veri!G:G,53,veri!I:I,"&gt;=1450",veri!I:I,"&lt;1451")</f>
        <v>0</v>
      </c>
      <c r="AE8" s="116">
        <f>COUNTIFS(veri!G:G,54,veri!I:I,"&gt;=1450",veri!I:I,"&lt;1451")</f>
        <v>0</v>
      </c>
      <c r="AF8" s="116">
        <f>COUNTIFS(veri!G:G,55,veri!I:I,"&gt;=1450",veri!I:I,"&lt;1451")</f>
        <v>0</v>
      </c>
      <c r="AG8" s="116">
        <f>COUNTIFS(veri!G:G,56,veri!I:I,"&gt;=1450",veri!I:I,"&lt;1451")</f>
        <v>0</v>
      </c>
      <c r="AH8" s="116">
        <f>COUNTIFS(veri!G:G,57,veri!I:I,"&gt;=1450",veri!I:I,"&lt;1451")</f>
        <v>0</v>
      </c>
      <c r="AI8" s="127">
        <f>COUNTIFS(veri!G:G,58,veri!I:I,"&gt;=1450",veri!I:I,"&lt;1451")</f>
        <v>0</v>
      </c>
      <c r="AJ8" s="116">
        <f>COUNTIFS(veri!G:G,59,veri!I:I,"&gt;=1450",veri!I:I,"&lt;1451")</f>
        <v>0</v>
      </c>
      <c r="AK8" s="116">
        <f>COUNTIFS(veri!G:G,60,veri!I:I,"&gt;=1450",veri!I:I,"&lt;1451")</f>
        <v>0</v>
      </c>
      <c r="AL8" s="116">
        <f>COUNTIFS(veri!G:G,61,veri!I:I,"&gt;=1450",veri!I:I,"&lt;1451")</f>
        <v>0</v>
      </c>
      <c r="AM8" s="116">
        <f>COUNTIFS(veri!G:G,62,veri!I:I,"&gt;=1450",veri!I:I,"&lt;1451")</f>
        <v>0</v>
      </c>
      <c r="AN8" s="116">
        <f>COUNTIFS(veri!G:G,63,veri!I:I,"&gt;=1450",veri!I:I,"&lt;1451")</f>
        <v>0</v>
      </c>
      <c r="AO8" s="116">
        <f>COUNTIFS(veri!G:G,64,veri!I:I,"&gt;=1450",veri!I:I,"&lt;1451")</f>
        <v>0</v>
      </c>
      <c r="AP8" s="116">
        <f>COUNTIFS(veri!G:G,65,veri!I:I,"&gt;=1450",veri!I:I,"&lt;1451")</f>
        <v>0</v>
      </c>
      <c r="AQ8" s="116">
        <f>COUNTIFS(veri!G:G,66,veri!I:I,"&gt;=1450",veri!I:I,"&lt;1451")</f>
        <v>0</v>
      </c>
      <c r="AR8" s="116">
        <f>COUNTIFS(veri!G:G,67,veri!I:I,"&gt;=1450",veri!I:I,"&lt;1451")</f>
        <v>0</v>
      </c>
      <c r="AS8" s="116">
        <f>COUNTIFS(veri!G:G,68,veri!I:I,"&gt;=1450",veri!I:I,"&lt;1451")</f>
        <v>0</v>
      </c>
      <c r="AT8" s="116">
        <f>COUNTIFS(veri!G:G,69,veri!I:I,"&gt;=1450",veri!I:I,"&lt;1451")</f>
        <v>0</v>
      </c>
      <c r="AU8" s="116">
        <f>COUNTIFS(veri!G:G,70,veri!I:I,"&gt;=1450",veri!I:I,"&lt;1451")</f>
        <v>0</v>
      </c>
      <c r="AV8" s="116">
        <f>COUNTIFS(veri!G:G,71,veri!I:I,"&gt;=1450",veri!I:I,"&lt;1451")</f>
        <v>0</v>
      </c>
      <c r="AW8" s="116">
        <f>COUNTIFS(veri!G:G,72,veri!I:I,"&gt;=1450",veri!I:I,"&lt;1451")</f>
        <v>0</v>
      </c>
      <c r="AX8" s="116">
        <f>COUNTIFS(veri!G:G,73,veri!I:I,"&gt;=1450",veri!I:I,"&lt;1451")</f>
        <v>0</v>
      </c>
      <c r="AY8" s="116">
        <f>COUNTIFS(veri!G:G,74,veri!I:I,"&gt;=1450",veri!I:I,"&lt;1451")</f>
        <v>0</v>
      </c>
      <c r="AZ8" s="116">
        <f>COUNTIFS(veri!G:G,75,veri!I:I,"&gt;=1450",veri!I:I,"&lt;1451")</f>
        <v>0</v>
      </c>
      <c r="BA8" s="116">
        <f>COUNTIFS(veri!G:G,76,veri!I:I,"&gt;=1450",veri!I:I,"&lt;1451")</f>
        <v>0</v>
      </c>
      <c r="BB8" s="116">
        <f>COUNTIFS(veri!G:G,77,veri!I:I,"&gt;=1450",veri!I:I,"&lt;1451")</f>
        <v>0</v>
      </c>
      <c r="BC8" s="116">
        <f>COUNTIFS(veri!G:G,78,veri!I:I,"&gt;=1450",veri!I:I,"&lt;1451")</f>
        <v>0</v>
      </c>
      <c r="BD8" s="116">
        <f>COUNTIFS(veri!G:G,79,veri!I:I,"&gt;=1450",veri!I:I,"&lt;1451")</f>
        <v>0</v>
      </c>
      <c r="BE8" s="116">
        <f>COUNTIFS(veri!G:G,80,veri!I:I,"&gt;=1450",veri!I:I,"&lt;1451")</f>
        <v>0</v>
      </c>
      <c r="BF8" s="116">
        <f>COUNTIFS(veri!G:G,81,veri!I:I,"&gt;=1450",veri!I:I,"&lt;1451")</f>
        <v>0</v>
      </c>
      <c r="BG8" s="116">
        <f>COUNTIFS(veri!G:G,82,veri!I:I,"&gt;=1450",veri!I:I,"&lt;1451")</f>
        <v>0</v>
      </c>
      <c r="BH8" s="116">
        <f>COUNTIFS(veri!G:G,83,veri!I:I,"&gt;=1450",veri!I:I,"&lt;1451")</f>
        <v>0</v>
      </c>
      <c r="BI8" s="116">
        <f>COUNTIFS(veri!G:G,84,veri!I:I,"&gt;=1450",veri!I:I,"&lt;1451")</f>
        <v>0</v>
      </c>
      <c r="BJ8" s="116">
        <f>COUNTIFS(veri!G:G,85,veri!I:I,"&gt;=1450",veri!I:I,"&lt;1451")</f>
        <v>0</v>
      </c>
      <c r="BK8" s="116">
        <f>COUNTIFS(veri!G:G,86,veri!I:I,"&gt;=1450",veri!I:I,"&lt;1451")</f>
        <v>0</v>
      </c>
      <c r="BL8" s="116">
        <f>COUNTIFS(veri!G:G,87,veri!I:I,"&gt;=1450",veri!I:I,"&lt;1451")</f>
        <v>0</v>
      </c>
      <c r="BM8" s="116">
        <f>COUNTIFS(veri!G:G,88,veri!I:I,"&gt;=1450",veri!I:I,"&lt;1451")</f>
        <v>0</v>
      </c>
      <c r="BN8" s="116">
        <f>COUNTIFS(veri!G:G,89,veri!I:I,"&gt;=1450",veri!I:I,"&lt;1451")</f>
        <v>0</v>
      </c>
      <c r="BO8" s="116">
        <f>COUNTIFS(veri!G:G,90,veri!I:I,"&gt;=1450",veri!I:I,"&lt;1451")</f>
        <v>0</v>
      </c>
      <c r="BP8" s="116">
        <f>COUNTIFS(veri!G:G,91,veri!I:I,"&gt;=1450",veri!I:I,"&lt;1451")</f>
        <v>0</v>
      </c>
      <c r="BQ8" s="116">
        <f>COUNTIFS(veri!G:G,92,veri!I:I,"&gt;=1450",veri!I:I,"&lt;1451")</f>
        <v>0</v>
      </c>
      <c r="BR8" s="116">
        <f>COUNTIFS(veri!G:G,93,veri!I:I,"&gt;=1450",veri!I:I,"&lt;1451")</f>
        <v>0</v>
      </c>
      <c r="BS8" s="116">
        <f>COUNTIFS(veri!G:G,94,veri!I:I,"&gt;=1450",veri!I:I,"&lt;1451")</f>
        <v>0</v>
      </c>
      <c r="BT8" s="116">
        <f>COUNTIFS(veri!G:G,95,veri!I:I,"&gt;=1450",veri!I:I,"&lt;1451")</f>
        <v>0</v>
      </c>
      <c r="BU8" s="116">
        <f>COUNTIFS(veri!G:G,96,veri!I:I,"&gt;=1450",veri!I:I,"&lt;1451")</f>
        <v>0</v>
      </c>
      <c r="BV8" s="116">
        <f>COUNTIFS(veri!G:G,97,veri!I:I,"&gt;=1450",veri!I:I,"&lt;1451")</f>
        <v>0</v>
      </c>
      <c r="BW8" s="116">
        <f>COUNTIFS(veri!G:G,98,veri!I:I,"&gt;=1450",veri!I:I,"&lt;1451")</f>
        <v>0</v>
      </c>
      <c r="BX8" s="116">
        <f>COUNTIFS(veri!G:G,99,veri!I:I,"&gt;=1450",veri!I:I,"&lt;1451")</f>
        <v>0</v>
      </c>
      <c r="BY8" s="116">
        <f>COUNTIFS(veri!G:G,100,veri!I:I,"&gt;=1450",veri!I:I,"&lt;1451")</f>
        <v>0</v>
      </c>
      <c r="BZ8" s="116">
        <f>COUNTIFS(veri!G:G,101,veri!I:I,"&gt;=1450",veri!I:I,"&lt;1451")</f>
        <v>0</v>
      </c>
      <c r="CA8" s="116">
        <f>COUNTIFS(veri!G:G,102,veri!I:I,"&gt;=1450",veri!I:I,"&lt;1451")</f>
        <v>0</v>
      </c>
      <c r="CB8" s="116">
        <f>COUNTIFS(veri!G:G,103,veri!I:I,"&gt;=1450",veri!I:I,"&lt;1451")</f>
        <v>0</v>
      </c>
      <c r="CC8" s="116">
        <f>COUNTIFS(veri!G:G,104,veri!I:I,"&gt;=1450",veri!I:I,"&lt;1451")</f>
        <v>0</v>
      </c>
      <c r="CD8" s="116">
        <f>COUNTIFS(veri!G:G,105,veri!I:I,"&gt;=1450",veri!I:I,"&lt;1451")</f>
        <v>0</v>
      </c>
      <c r="CE8" s="121">
        <f>SUM(B8:CD8)</f>
        <v>0</v>
      </c>
      <c r="CF8" s="14"/>
      <c r="CG8" s="14"/>
      <c r="CH8" s="14"/>
      <c r="CI8" s="14"/>
      <c r="CJ8" s="14"/>
      <c r="CK8" s="14"/>
    </row>
    <row r="9" spans="1:89" ht="18" customHeight="1" x14ac:dyDescent="0.15">
      <c r="A9" s="125" t="s">
        <v>113</v>
      </c>
      <c r="B9" s="121">
        <f t="shared" ref="B9:AG9" si="0">SUM(B4:B8)</f>
        <v>0</v>
      </c>
      <c r="C9" s="121">
        <f t="shared" si="0"/>
        <v>0</v>
      </c>
      <c r="D9" s="121">
        <f t="shared" si="0"/>
        <v>0</v>
      </c>
      <c r="E9" s="121">
        <f t="shared" si="0"/>
        <v>0</v>
      </c>
      <c r="F9" s="121">
        <f t="shared" si="0"/>
        <v>0</v>
      </c>
      <c r="G9" s="121">
        <f t="shared" si="0"/>
        <v>0</v>
      </c>
      <c r="H9" s="121">
        <f t="shared" si="0"/>
        <v>0</v>
      </c>
      <c r="I9" s="121">
        <f t="shared" si="0"/>
        <v>0</v>
      </c>
      <c r="J9" s="121">
        <f t="shared" si="0"/>
        <v>0</v>
      </c>
      <c r="K9" s="121">
        <f t="shared" si="0"/>
        <v>0</v>
      </c>
      <c r="L9" s="121">
        <f t="shared" si="0"/>
        <v>0</v>
      </c>
      <c r="M9" s="121">
        <f t="shared" si="0"/>
        <v>0</v>
      </c>
      <c r="N9" s="121">
        <f t="shared" si="0"/>
        <v>0</v>
      </c>
      <c r="O9" s="121">
        <f t="shared" si="0"/>
        <v>0</v>
      </c>
      <c r="P9" s="121">
        <f t="shared" si="0"/>
        <v>0</v>
      </c>
      <c r="Q9" s="121">
        <f t="shared" si="0"/>
        <v>0</v>
      </c>
      <c r="R9" s="121">
        <f t="shared" si="0"/>
        <v>0</v>
      </c>
      <c r="S9" s="121">
        <f t="shared" si="0"/>
        <v>0</v>
      </c>
      <c r="T9" s="121">
        <f t="shared" si="0"/>
        <v>0</v>
      </c>
      <c r="U9" s="121">
        <f t="shared" si="0"/>
        <v>0</v>
      </c>
      <c r="V9" s="121">
        <f t="shared" si="0"/>
        <v>0</v>
      </c>
      <c r="W9" s="121">
        <f t="shared" si="0"/>
        <v>0</v>
      </c>
      <c r="X9" s="121">
        <f t="shared" si="0"/>
        <v>0</v>
      </c>
      <c r="Y9" s="121">
        <f t="shared" si="0"/>
        <v>0</v>
      </c>
      <c r="Z9" s="121">
        <f t="shared" si="0"/>
        <v>0</v>
      </c>
      <c r="AA9" s="121">
        <f t="shared" si="0"/>
        <v>0</v>
      </c>
      <c r="AB9" s="121">
        <f t="shared" si="0"/>
        <v>0</v>
      </c>
      <c r="AC9" s="121">
        <f t="shared" si="0"/>
        <v>0</v>
      </c>
      <c r="AD9" s="121">
        <f t="shared" si="0"/>
        <v>0</v>
      </c>
      <c r="AE9" s="121">
        <f t="shared" si="0"/>
        <v>0</v>
      </c>
      <c r="AF9" s="121">
        <f t="shared" si="0"/>
        <v>0</v>
      </c>
      <c r="AG9" s="121">
        <f t="shared" si="0"/>
        <v>0</v>
      </c>
      <c r="AH9" s="121">
        <f t="shared" ref="AH9:BM9" si="1">SUM(AH4:AH8)</f>
        <v>0</v>
      </c>
      <c r="AI9" s="142">
        <f t="shared" si="1"/>
        <v>0</v>
      </c>
      <c r="AJ9" s="121">
        <f t="shared" si="1"/>
        <v>0</v>
      </c>
      <c r="AK9" s="121">
        <f t="shared" si="1"/>
        <v>0</v>
      </c>
      <c r="AL9" s="121">
        <f t="shared" si="1"/>
        <v>0</v>
      </c>
      <c r="AM9" s="121">
        <f t="shared" si="1"/>
        <v>0</v>
      </c>
      <c r="AN9" s="121">
        <f t="shared" si="1"/>
        <v>0</v>
      </c>
      <c r="AO9" s="121">
        <f t="shared" si="1"/>
        <v>0</v>
      </c>
      <c r="AP9" s="121">
        <f t="shared" si="1"/>
        <v>0</v>
      </c>
      <c r="AQ9" s="121">
        <f t="shared" si="1"/>
        <v>0</v>
      </c>
      <c r="AR9" s="121">
        <f t="shared" si="1"/>
        <v>0</v>
      </c>
      <c r="AS9" s="121">
        <f t="shared" si="1"/>
        <v>0</v>
      </c>
      <c r="AT9" s="121">
        <f t="shared" si="1"/>
        <v>0</v>
      </c>
      <c r="AU9" s="121">
        <f t="shared" si="1"/>
        <v>0</v>
      </c>
      <c r="AV9" s="121">
        <f t="shared" si="1"/>
        <v>0</v>
      </c>
      <c r="AW9" s="121">
        <f t="shared" si="1"/>
        <v>0</v>
      </c>
      <c r="AX9" s="121">
        <f t="shared" si="1"/>
        <v>0</v>
      </c>
      <c r="AY9" s="121">
        <f t="shared" si="1"/>
        <v>0</v>
      </c>
      <c r="AZ9" s="121">
        <f t="shared" si="1"/>
        <v>0</v>
      </c>
      <c r="BA9" s="121">
        <f t="shared" si="1"/>
        <v>0</v>
      </c>
      <c r="BB9" s="121">
        <f t="shared" si="1"/>
        <v>0</v>
      </c>
      <c r="BC9" s="121">
        <f t="shared" si="1"/>
        <v>0</v>
      </c>
      <c r="BD9" s="121">
        <f t="shared" si="1"/>
        <v>0</v>
      </c>
      <c r="BE9" s="121">
        <f t="shared" si="1"/>
        <v>0</v>
      </c>
      <c r="BF9" s="121">
        <f t="shared" si="1"/>
        <v>0</v>
      </c>
      <c r="BG9" s="121">
        <f t="shared" si="1"/>
        <v>0</v>
      </c>
      <c r="BH9" s="121">
        <f t="shared" si="1"/>
        <v>0</v>
      </c>
      <c r="BI9" s="121">
        <f t="shared" si="1"/>
        <v>0</v>
      </c>
      <c r="BJ9" s="121">
        <f t="shared" si="1"/>
        <v>0</v>
      </c>
      <c r="BK9" s="121">
        <f t="shared" si="1"/>
        <v>0</v>
      </c>
      <c r="BL9" s="121">
        <f t="shared" si="1"/>
        <v>0</v>
      </c>
      <c r="BM9" s="121">
        <f t="shared" si="1"/>
        <v>0</v>
      </c>
      <c r="BN9" s="121">
        <f t="shared" ref="BN9:CE9" si="2">SUM(BN4:BN8)</f>
        <v>0</v>
      </c>
      <c r="BO9" s="121">
        <f t="shared" si="2"/>
        <v>0</v>
      </c>
      <c r="BP9" s="121">
        <f t="shared" si="2"/>
        <v>0</v>
      </c>
      <c r="BQ9" s="121">
        <f t="shared" si="2"/>
        <v>0</v>
      </c>
      <c r="BR9" s="121">
        <f t="shared" si="2"/>
        <v>0</v>
      </c>
      <c r="BS9" s="121">
        <f t="shared" si="2"/>
        <v>0</v>
      </c>
      <c r="BT9" s="121">
        <f t="shared" si="2"/>
        <v>0</v>
      </c>
      <c r="BU9" s="121">
        <f t="shared" si="2"/>
        <v>0</v>
      </c>
      <c r="BV9" s="121">
        <f t="shared" si="2"/>
        <v>0</v>
      </c>
      <c r="BW9" s="121">
        <f t="shared" si="2"/>
        <v>0</v>
      </c>
      <c r="BX9" s="121">
        <f t="shared" si="2"/>
        <v>0</v>
      </c>
      <c r="BY9" s="121">
        <f t="shared" si="2"/>
        <v>0</v>
      </c>
      <c r="BZ9" s="121">
        <f t="shared" si="2"/>
        <v>0</v>
      </c>
      <c r="CA9" s="121">
        <f t="shared" si="2"/>
        <v>0</v>
      </c>
      <c r="CB9" s="121">
        <f t="shared" si="2"/>
        <v>0</v>
      </c>
      <c r="CC9" s="121">
        <f t="shared" si="2"/>
        <v>0</v>
      </c>
      <c r="CD9" s="121">
        <f t="shared" si="2"/>
        <v>0</v>
      </c>
      <c r="CE9" s="121">
        <f t="shared" si="2"/>
        <v>0</v>
      </c>
      <c r="CF9" s="14"/>
      <c r="CG9" s="14"/>
      <c r="CH9" s="14"/>
      <c r="CI9" s="14"/>
      <c r="CJ9" s="14"/>
      <c r="CK9" s="14"/>
    </row>
    <row r="10" spans="1:89" s="126" customFormat="1" ht="18" customHeight="1" x14ac:dyDescent="0.1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0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</row>
    <row r="11" spans="1:89" ht="13.5" customHeight="1" x14ac:dyDescent="0.1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</row>
    <row r="12" spans="1:89" ht="13.5" customHeight="1" x14ac:dyDescent="0.1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</row>
    <row r="13" spans="1:89" s="108" customFormat="1" ht="13.5" customHeight="1" x14ac:dyDescent="0.1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0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</row>
    <row r="14" spans="1:89" ht="13.5" customHeight="1" x14ac:dyDescent="0.1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</row>
    <row r="15" spans="1:89" ht="13.5" customHeight="1" x14ac:dyDescent="0.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</row>
    <row r="16" spans="1:89" ht="13.5" customHeight="1" x14ac:dyDescent="0.1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</row>
    <row r="17" spans="1:89" ht="13.5" customHeight="1" x14ac:dyDescent="0.1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</row>
    <row r="18" spans="1:89" ht="13.5" customHeight="1" x14ac:dyDescent="0.1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</row>
    <row r="19" spans="1:89" ht="13.5" customHeight="1" x14ac:dyDescent="0.1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</row>
    <row r="20" spans="1:89" ht="13.5" customHeight="1" x14ac:dyDescent="0.1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</row>
    <row r="21" spans="1:89" ht="13.5" customHeight="1" x14ac:dyDescent="0.1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</row>
    <row r="22" spans="1:89" ht="13.5" customHeight="1" x14ac:dyDescent="0.1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</row>
    <row r="23" spans="1:89" ht="13.5" customHeight="1" x14ac:dyDescent="0.1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</row>
    <row r="24" spans="1:89" ht="13.5" customHeight="1" x14ac:dyDescent="0.1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</row>
    <row r="25" spans="1:89" ht="13.5" customHeight="1" x14ac:dyDescent="0.1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</row>
    <row r="26" spans="1:89" ht="13.5" customHeight="1" x14ac:dyDescent="0.1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</row>
    <row r="27" spans="1:89" ht="13.5" customHeight="1" x14ac:dyDescent="0.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</row>
    <row r="28" spans="1:89" ht="13.5" customHeight="1" x14ac:dyDescent="0.1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</row>
    <row r="29" spans="1:89" ht="13.5" customHeight="1" x14ac:dyDescent="0.1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</row>
    <row r="30" spans="1:89" ht="10.5" customHeight="1" x14ac:dyDescent="0.1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</row>
    <row r="31" spans="1:89" ht="10.5" customHeight="1" x14ac:dyDescent="0.1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</row>
    <row r="32" spans="1:89" ht="10.5" customHeight="1" x14ac:dyDescent="0.15">
      <c r="A32" s="14"/>
      <c r="B32" s="13"/>
      <c r="C32" s="13"/>
      <c r="D32" s="13"/>
      <c r="E32" s="13"/>
      <c r="F32" s="13"/>
      <c r="G32" s="13"/>
      <c r="H32" s="13"/>
      <c r="I32" s="13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</row>
    <row r="33" spans="1:89" ht="10.5" customHeight="1" x14ac:dyDescent="0.15">
      <c r="A33" s="14"/>
      <c r="B33" s="13"/>
      <c r="C33" s="13"/>
      <c r="D33" s="13"/>
      <c r="E33" s="13"/>
      <c r="F33" s="13"/>
      <c r="G33" s="13"/>
      <c r="H33" s="13"/>
      <c r="I33" s="13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</row>
    <row r="34" spans="1:89" ht="10.5" customHeight="1" x14ac:dyDescent="0.15">
      <c r="A34" s="14"/>
      <c r="B34" s="13"/>
      <c r="C34" s="13"/>
      <c r="D34" s="13"/>
      <c r="E34" s="13"/>
      <c r="F34" s="13"/>
      <c r="G34" s="13"/>
      <c r="H34" s="13"/>
      <c r="I34" s="13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</row>
    <row r="35" spans="1:89" ht="10.5" customHeight="1" x14ac:dyDescent="0.15">
      <c r="A35" s="14"/>
      <c r="B35" s="13"/>
      <c r="C35" s="13"/>
      <c r="D35" s="13"/>
      <c r="E35" s="13"/>
      <c r="F35" s="13"/>
      <c r="G35" s="13"/>
      <c r="H35" s="13"/>
      <c r="I35" s="13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</row>
    <row r="36" spans="1:89" ht="10.5" customHeight="1" x14ac:dyDescent="0.15">
      <c r="A36" s="14"/>
      <c r="B36" s="13"/>
      <c r="C36" s="13"/>
      <c r="D36" s="13"/>
      <c r="E36" s="13"/>
      <c r="F36" s="13"/>
      <c r="G36" s="13"/>
      <c r="H36" s="13"/>
      <c r="I36" s="13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</row>
    <row r="37" spans="1:89" ht="10.5" customHeight="1" x14ac:dyDescent="0.15">
      <c r="A37" s="14"/>
      <c r="B37" s="13"/>
      <c r="C37" s="13"/>
      <c r="D37" s="13"/>
      <c r="E37" s="13"/>
      <c r="F37" s="13"/>
      <c r="G37" s="13"/>
      <c r="H37" s="13"/>
      <c r="I37" s="13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</row>
    <row r="38" spans="1:89" ht="10.5" customHeight="1" x14ac:dyDescent="0.15">
      <c r="A38" s="14"/>
      <c r="B38" s="13"/>
      <c r="C38" s="13"/>
      <c r="D38" s="13"/>
      <c r="E38" s="13"/>
      <c r="F38" s="13"/>
      <c r="G38" s="13"/>
      <c r="H38" s="13"/>
      <c r="I38" s="13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</row>
    <row r="39" spans="1:89" ht="10.5" customHeight="1" x14ac:dyDescent="0.15">
      <c r="A39" s="14"/>
      <c r="B39" s="13"/>
      <c r="C39" s="13"/>
      <c r="D39" s="13"/>
      <c r="E39" s="13"/>
      <c r="F39" s="13"/>
      <c r="G39" s="13"/>
      <c r="H39" s="13"/>
      <c r="I39" s="13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</row>
    <row r="40" spans="1:89" ht="10.5" customHeight="1" x14ac:dyDescent="0.15">
      <c r="A40" s="14"/>
      <c r="B40" s="13"/>
      <c r="C40" s="13"/>
      <c r="D40" s="13"/>
      <c r="E40" s="13"/>
      <c r="F40" s="13"/>
      <c r="G40" s="13"/>
      <c r="H40" s="13"/>
      <c r="I40" s="13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</row>
    <row r="41" spans="1:89" ht="10.5" customHeight="1" x14ac:dyDescent="0.15">
      <c r="A41" s="14"/>
      <c r="B41" s="13"/>
      <c r="C41" s="13"/>
      <c r="D41" s="13"/>
      <c r="E41" s="13"/>
      <c r="F41" s="13"/>
      <c r="G41" s="13"/>
      <c r="H41" s="13"/>
      <c r="I41" s="13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</row>
    <row r="42" spans="1:89" ht="10.5" customHeight="1" x14ac:dyDescent="0.15">
      <c r="A42" s="14"/>
      <c r="B42" s="13"/>
      <c r="C42" s="13"/>
      <c r="D42" s="13"/>
      <c r="E42" s="13"/>
      <c r="F42" s="13"/>
      <c r="G42" s="13"/>
      <c r="H42" s="13"/>
      <c r="I42" s="13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</row>
    <row r="43" spans="1:89" ht="10.5" customHeight="1" x14ac:dyDescent="0.15">
      <c r="A43" s="14"/>
      <c r="B43" s="13"/>
      <c r="C43" s="13"/>
      <c r="D43" s="13"/>
      <c r="E43" s="13"/>
      <c r="F43" s="13"/>
      <c r="G43" s="13"/>
      <c r="H43" s="13"/>
      <c r="I43" s="13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</row>
    <row r="44" spans="1:89" ht="10.5" customHeight="1" x14ac:dyDescent="0.15">
      <c r="A44" s="14"/>
      <c r="B44" s="13"/>
      <c r="C44" s="13"/>
      <c r="D44" s="13"/>
      <c r="E44" s="13"/>
      <c r="F44" s="13"/>
      <c r="G44" s="13"/>
      <c r="H44" s="13"/>
      <c r="I44" s="13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</row>
    <row r="45" spans="1:89" ht="10.5" customHeight="1" x14ac:dyDescent="0.15">
      <c r="A45" s="14"/>
      <c r="B45" s="13"/>
      <c r="C45" s="13"/>
      <c r="D45" s="13"/>
      <c r="E45" s="13"/>
      <c r="F45" s="13"/>
      <c r="G45" s="13"/>
      <c r="H45" s="13"/>
      <c r="I45" s="13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</row>
    <row r="46" spans="1:89" ht="10.5" customHeight="1" x14ac:dyDescent="0.15">
      <c r="A46" s="14"/>
      <c r="B46" s="13"/>
      <c r="C46" s="13"/>
      <c r="D46" s="13"/>
      <c r="E46" s="13"/>
      <c r="F46" s="13"/>
      <c r="G46" s="13"/>
      <c r="H46" s="13"/>
      <c r="I46" s="13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</row>
    <row r="47" spans="1:89" ht="10.5" customHeight="1" x14ac:dyDescent="0.15">
      <c r="A47" s="14"/>
      <c r="B47" s="13"/>
      <c r="C47" s="13"/>
      <c r="D47" s="13"/>
      <c r="E47" s="13"/>
      <c r="F47" s="13"/>
      <c r="G47" s="13"/>
      <c r="H47" s="13"/>
      <c r="I47" s="13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</row>
    <row r="48" spans="1:89" ht="10.5" customHeight="1" x14ac:dyDescent="0.15">
      <c r="A48" s="14"/>
      <c r="B48" s="13"/>
      <c r="C48" s="13"/>
      <c r="D48" s="13"/>
      <c r="E48" s="13"/>
      <c r="F48" s="13"/>
      <c r="G48" s="13"/>
      <c r="H48" s="13"/>
      <c r="I48" s="13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</row>
    <row r="49" spans="1:89" ht="10.5" customHeight="1" x14ac:dyDescent="0.15">
      <c r="A49" s="14"/>
      <c r="B49" s="13"/>
      <c r="C49" s="13"/>
      <c r="D49" s="13"/>
      <c r="E49" s="13"/>
      <c r="F49" s="13"/>
      <c r="G49" s="13"/>
      <c r="H49" s="13"/>
      <c r="I49" s="13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</row>
    <row r="50" spans="1:89" ht="10.5" customHeight="1" x14ac:dyDescent="0.15">
      <c r="A50" s="14"/>
      <c r="B50" s="13"/>
      <c r="C50" s="13"/>
      <c r="D50" s="13"/>
      <c r="E50" s="13"/>
      <c r="F50" s="13"/>
      <c r="G50" s="13"/>
      <c r="H50" s="13"/>
      <c r="I50" s="1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</row>
    <row r="51" spans="1:89" ht="10.5" customHeight="1" x14ac:dyDescent="0.15">
      <c r="A51" s="14"/>
      <c r="B51" s="13"/>
      <c r="C51" s="13"/>
      <c r="D51" s="13"/>
      <c r="E51" s="13"/>
      <c r="F51" s="13"/>
      <c r="G51" s="13"/>
      <c r="H51" s="13"/>
      <c r="I51" s="1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</row>
    <row r="52" spans="1:89" ht="10.5" customHeight="1" x14ac:dyDescent="0.15">
      <c r="A52" s="14"/>
      <c r="B52" s="13"/>
      <c r="C52" s="13"/>
      <c r="D52" s="13"/>
      <c r="E52" s="13"/>
      <c r="F52" s="13"/>
      <c r="G52" s="13"/>
      <c r="H52" s="13"/>
      <c r="I52" s="1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</row>
    <row r="53" spans="1:89" ht="10.5" customHeight="1" x14ac:dyDescent="0.15">
      <c r="A53" s="14"/>
      <c r="B53" s="13"/>
      <c r="C53" s="13"/>
      <c r="D53" s="13"/>
      <c r="E53" s="13"/>
      <c r="F53" s="13"/>
      <c r="G53" s="13"/>
      <c r="H53" s="13"/>
      <c r="I53" s="13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</row>
    <row r="54" spans="1:89" ht="10.5" customHeight="1" x14ac:dyDescent="0.15">
      <c r="A54" s="14"/>
      <c r="B54" s="13"/>
      <c r="C54" s="13"/>
      <c r="D54" s="13"/>
      <c r="E54" s="13"/>
      <c r="F54" s="13"/>
      <c r="G54" s="13"/>
      <c r="H54" s="13"/>
      <c r="I54" s="13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</row>
    <row r="55" spans="1:89" ht="10.5" customHeight="1" x14ac:dyDescent="0.15">
      <c r="A55" s="14"/>
      <c r="B55" s="13"/>
      <c r="C55" s="13"/>
      <c r="D55" s="13"/>
      <c r="E55" s="13"/>
      <c r="F55" s="13"/>
      <c r="G55" s="13"/>
      <c r="H55" s="13"/>
      <c r="I55" s="13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</row>
    <row r="56" spans="1:89" ht="10.5" customHeight="1" x14ac:dyDescent="0.15">
      <c r="A56" s="14"/>
      <c r="B56" s="13"/>
      <c r="C56" s="13"/>
      <c r="D56" s="13"/>
      <c r="E56" s="13"/>
      <c r="F56" s="13"/>
      <c r="G56" s="13"/>
      <c r="H56" s="13"/>
      <c r="I56" s="13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</row>
    <row r="57" spans="1:89" ht="10.5" customHeight="1" x14ac:dyDescent="0.15">
      <c r="A57" s="14"/>
      <c r="B57" s="13"/>
      <c r="C57" s="13"/>
      <c r="D57" s="13"/>
      <c r="E57" s="13"/>
      <c r="F57" s="13"/>
      <c r="G57" s="13"/>
      <c r="H57" s="13"/>
      <c r="I57" s="13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</row>
    <row r="58" spans="1:89" ht="10.5" customHeight="1" x14ac:dyDescent="0.15">
      <c r="A58" s="14"/>
      <c r="B58" s="13"/>
      <c r="C58" s="13"/>
      <c r="D58" s="13"/>
      <c r="E58" s="13"/>
      <c r="F58" s="13"/>
      <c r="G58" s="13"/>
      <c r="H58" s="13"/>
      <c r="I58" s="13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</row>
    <row r="59" spans="1:89" ht="10.5" customHeight="1" x14ac:dyDescent="0.15">
      <c r="A59" s="14"/>
      <c r="B59" s="13"/>
      <c r="C59" s="13"/>
      <c r="D59" s="13"/>
      <c r="E59" s="13"/>
      <c r="F59" s="13"/>
      <c r="G59" s="13"/>
      <c r="H59" s="13"/>
      <c r="I59" s="13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</row>
    <row r="60" spans="1:89" ht="10.5" customHeight="1" x14ac:dyDescent="0.15">
      <c r="A60" s="14"/>
      <c r="B60" s="13"/>
      <c r="C60" s="13"/>
      <c r="D60" s="13"/>
      <c r="E60" s="13"/>
      <c r="F60" s="13"/>
      <c r="G60" s="13"/>
      <c r="H60" s="13"/>
      <c r="I60" s="13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</row>
    <row r="61" spans="1:89" ht="10.5" customHeight="1" x14ac:dyDescent="0.15">
      <c r="A61" s="14"/>
      <c r="B61" s="13"/>
      <c r="C61" s="13"/>
      <c r="D61" s="13"/>
      <c r="E61" s="13"/>
      <c r="F61" s="13"/>
      <c r="G61" s="13"/>
      <c r="H61" s="13"/>
      <c r="I61" s="13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</row>
    <row r="62" spans="1:89" ht="10.5" customHeight="1" x14ac:dyDescent="0.15">
      <c r="A62" s="14"/>
      <c r="B62" s="13"/>
      <c r="C62" s="13"/>
      <c r="D62" s="13"/>
      <c r="E62" s="13"/>
      <c r="F62" s="13"/>
      <c r="G62" s="13"/>
      <c r="H62" s="13"/>
      <c r="I62" s="13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</row>
    <row r="63" spans="1:89" ht="10.5" customHeight="1" x14ac:dyDescent="0.15">
      <c r="A63" s="14"/>
      <c r="B63" s="13"/>
      <c r="C63" s="13"/>
      <c r="D63" s="13"/>
      <c r="E63" s="13"/>
      <c r="F63" s="13"/>
      <c r="G63" s="13"/>
      <c r="H63" s="13"/>
      <c r="I63" s="13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</row>
    <row r="64" spans="1:89" ht="12.75" customHeight="1" x14ac:dyDescent="0.15">
      <c r="A64" s="14"/>
      <c r="B64" s="13"/>
      <c r="C64" s="13"/>
      <c r="D64" s="13"/>
      <c r="E64" s="13"/>
      <c r="F64" s="13"/>
      <c r="G64" s="13"/>
      <c r="H64" s="13"/>
      <c r="I64" s="13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</row>
    <row r="65" spans="1:89" ht="12.75" customHeight="1" x14ac:dyDescent="0.15">
      <c r="A65" s="14"/>
      <c r="B65" s="13"/>
      <c r="C65" s="13"/>
      <c r="D65" s="13"/>
      <c r="E65" s="13"/>
      <c r="F65" s="13"/>
      <c r="G65" s="13"/>
      <c r="H65" s="13"/>
      <c r="I65" s="13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</row>
    <row r="66" spans="1:89" ht="12.75" customHeight="1" x14ac:dyDescent="0.15">
      <c r="A66" s="14"/>
      <c r="B66" s="13"/>
      <c r="C66" s="13"/>
      <c r="D66" s="13"/>
      <c r="E66" s="13"/>
      <c r="F66" s="13"/>
      <c r="G66" s="13"/>
      <c r="H66" s="13"/>
      <c r="I66" s="1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</row>
    <row r="67" spans="1:89" ht="12.75" customHeight="1" x14ac:dyDescent="0.15">
      <c r="A67" s="14"/>
      <c r="B67" s="13"/>
      <c r="C67" s="13"/>
      <c r="D67" s="13"/>
      <c r="E67" s="13"/>
      <c r="F67" s="13"/>
      <c r="G67" s="13"/>
      <c r="H67" s="13"/>
      <c r="I67" s="13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</row>
    <row r="68" spans="1:89" ht="12.75" customHeight="1" x14ac:dyDescent="0.15">
      <c r="A68" s="14"/>
      <c r="B68" s="13"/>
      <c r="C68" s="13"/>
      <c r="D68" s="13"/>
      <c r="E68" s="13"/>
      <c r="F68" s="13"/>
      <c r="G68" s="13"/>
      <c r="H68" s="13"/>
      <c r="I68" s="13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</row>
    <row r="69" spans="1:89" ht="12.75" customHeight="1" x14ac:dyDescent="0.15">
      <c r="A69" s="14"/>
      <c r="B69" s="13"/>
      <c r="C69" s="13"/>
      <c r="D69" s="13"/>
      <c r="E69" s="13"/>
      <c r="F69" s="13"/>
      <c r="G69" s="13"/>
      <c r="H69" s="13"/>
      <c r="I69" s="13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</row>
    <row r="70" spans="1:89" ht="12.75" customHeight="1" x14ac:dyDescent="0.15">
      <c r="A70" s="14"/>
      <c r="B70" s="13"/>
      <c r="C70" s="13"/>
      <c r="D70" s="13"/>
      <c r="E70" s="13"/>
      <c r="F70" s="13"/>
      <c r="G70" s="13"/>
      <c r="H70" s="13"/>
      <c r="I70" s="13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</row>
    <row r="71" spans="1:89" ht="12.75" customHeight="1" x14ac:dyDescent="0.15">
      <c r="A71" s="14"/>
      <c r="B71" s="13"/>
      <c r="C71" s="13"/>
      <c r="D71" s="13"/>
      <c r="E71" s="13"/>
      <c r="F71" s="13"/>
      <c r="G71" s="13"/>
      <c r="H71" s="13"/>
      <c r="I71" s="13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</row>
    <row r="72" spans="1:89" ht="12.75" customHeight="1" x14ac:dyDescent="0.15">
      <c r="A72" s="14"/>
      <c r="B72" s="13"/>
      <c r="C72" s="13"/>
      <c r="D72" s="13"/>
      <c r="E72" s="13"/>
      <c r="F72" s="13"/>
      <c r="G72" s="13"/>
      <c r="H72" s="13"/>
      <c r="I72" s="13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</row>
    <row r="73" spans="1:89" ht="12.75" customHeight="1" x14ac:dyDescent="0.15">
      <c r="A73" s="14"/>
      <c r="B73" s="13"/>
      <c r="C73" s="13"/>
      <c r="D73" s="13"/>
      <c r="E73" s="13"/>
      <c r="F73" s="13"/>
      <c r="G73" s="13"/>
      <c r="H73" s="13"/>
      <c r="I73" s="13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</row>
    <row r="74" spans="1:89" ht="12.75" customHeight="1" x14ac:dyDescent="0.15">
      <c r="A74" s="14"/>
      <c r="B74" s="13"/>
      <c r="C74" s="13"/>
      <c r="D74" s="13"/>
      <c r="E74" s="13"/>
      <c r="F74" s="13"/>
      <c r="G74" s="13"/>
      <c r="H74" s="13"/>
      <c r="I74" s="13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</row>
    <row r="75" spans="1:89" ht="12.75" customHeight="1" x14ac:dyDescent="0.15">
      <c r="A75" s="14"/>
      <c r="B75" s="13"/>
      <c r="C75" s="13"/>
      <c r="D75" s="13"/>
      <c r="E75" s="13"/>
      <c r="F75" s="13"/>
      <c r="G75" s="13"/>
      <c r="H75" s="13"/>
      <c r="I75" s="13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</row>
    <row r="76" spans="1:89" ht="12.75" customHeight="1" x14ac:dyDescent="0.15">
      <c r="A76" s="14"/>
      <c r="B76" s="13"/>
      <c r="C76" s="13"/>
      <c r="D76" s="13"/>
      <c r="E76" s="13"/>
      <c r="F76" s="13"/>
      <c r="G76" s="13"/>
      <c r="H76" s="13"/>
      <c r="I76" s="13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</row>
    <row r="77" spans="1:89" ht="12.75" customHeight="1" x14ac:dyDescent="0.15">
      <c r="A77" s="14"/>
      <c r="B77" s="13"/>
      <c r="C77" s="13"/>
      <c r="D77" s="13"/>
      <c r="E77" s="13"/>
      <c r="F77" s="13"/>
      <c r="G77" s="13"/>
      <c r="H77" s="13"/>
      <c r="I77" s="13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</row>
    <row r="78" spans="1:89" ht="12.75" customHeight="1" x14ac:dyDescent="0.15">
      <c r="A78" s="14"/>
      <c r="B78" s="13"/>
      <c r="C78" s="13"/>
      <c r="D78" s="13"/>
      <c r="E78" s="13"/>
      <c r="F78" s="13"/>
      <c r="G78" s="13"/>
      <c r="H78" s="13"/>
      <c r="I78" s="13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</row>
    <row r="79" spans="1:89" ht="12.75" customHeight="1" x14ac:dyDescent="0.15">
      <c r="A79" s="14"/>
      <c r="B79" s="13"/>
      <c r="C79" s="13"/>
      <c r="D79" s="13"/>
      <c r="E79" s="13"/>
      <c r="F79" s="13"/>
      <c r="G79" s="13"/>
      <c r="H79" s="13"/>
      <c r="I79" s="13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</row>
    <row r="80" spans="1:89" ht="12.75" customHeight="1" x14ac:dyDescent="0.15">
      <c r="A80" s="14"/>
      <c r="B80" s="13"/>
      <c r="C80" s="13"/>
      <c r="D80" s="13"/>
      <c r="E80" s="13"/>
      <c r="F80" s="13"/>
      <c r="G80" s="13"/>
      <c r="H80" s="13"/>
      <c r="I80" s="13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</row>
    <row r="81" spans="1:89" ht="12.75" customHeight="1" x14ac:dyDescent="0.15">
      <c r="A81" s="14"/>
      <c r="B81" s="13"/>
      <c r="C81" s="13"/>
      <c r="D81" s="13"/>
      <c r="E81" s="13"/>
      <c r="F81" s="13"/>
      <c r="G81" s="13"/>
      <c r="H81" s="13"/>
      <c r="I81" s="13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</row>
    <row r="82" spans="1:89" ht="12.75" customHeight="1" x14ac:dyDescent="0.15">
      <c r="A82" s="14"/>
      <c r="B82" s="13"/>
      <c r="C82" s="13"/>
      <c r="D82" s="13"/>
      <c r="E82" s="13"/>
      <c r="F82" s="13"/>
      <c r="G82" s="13"/>
      <c r="H82" s="13"/>
      <c r="I82" s="13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</row>
    <row r="83" spans="1:89" ht="12.75" customHeight="1" x14ac:dyDescent="0.1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</row>
    <row r="84" spans="1:89" ht="12.75" customHeight="1" x14ac:dyDescent="0.1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</row>
    <row r="85" spans="1:89" ht="12.75" customHeight="1" x14ac:dyDescent="0.1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</row>
    <row r="86" spans="1:89" ht="12.75" customHeight="1" x14ac:dyDescent="0.1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</row>
    <row r="87" spans="1:89" ht="12.75" customHeight="1" x14ac:dyDescent="0.1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</row>
    <row r="88" spans="1:89" ht="12.75" customHeight="1" x14ac:dyDescent="0.1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</row>
    <row r="89" spans="1:89" ht="12.75" customHeight="1" x14ac:dyDescent="0.1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</row>
    <row r="90" spans="1:89" ht="12.75" customHeight="1" x14ac:dyDescent="0.1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</row>
    <row r="91" spans="1:89" ht="12.75" customHeight="1" x14ac:dyDescent="0.1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</row>
    <row r="92" spans="1:89" ht="12.75" customHeight="1" x14ac:dyDescent="0.1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</row>
    <row r="93" spans="1:89" ht="12.75" customHeight="1" x14ac:dyDescent="0.1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</row>
    <row r="94" spans="1:89" ht="12.75" customHeight="1" x14ac:dyDescent="0.1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</row>
    <row r="95" spans="1:89" ht="12.75" customHeight="1" x14ac:dyDescent="0.1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</row>
    <row r="96" spans="1:89" ht="12.75" customHeight="1" x14ac:dyDescent="0.1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</row>
    <row r="97" spans="1:89" ht="12.75" customHeight="1" x14ac:dyDescent="0.1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</row>
    <row r="98" spans="1:89" ht="12.75" customHeight="1" x14ac:dyDescent="0.1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</row>
    <row r="99" spans="1:89" ht="12.75" customHeight="1" x14ac:dyDescent="0.1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</row>
  </sheetData>
  <printOptions horizontalCentered="1"/>
  <pageMargins left="0.72986111111111096" right="0.65972222222222199" top="2.15" bottom="1" header="1.52986111111111" footer="0.511811023622047"/>
  <pageSetup paperSize="9" scale="81" orientation="landscape" horizontalDpi="300" verticalDpi="300"/>
  <headerFooter>
    <oddHeader>&amp;C- GLİ, 2022 -_x005F_x000a_"ELLE TAŞIMA" TÜRÜ KAZALARIN SANATLARA GÖRE DAĞILIMI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K9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T113" sqref="T113"/>
    </sheetView>
  </sheetViews>
  <sheetFormatPr baseColWidth="10" defaultColWidth="9" defaultRowHeight="13" x14ac:dyDescent="0.15"/>
  <cols>
    <col min="1" max="1" width="30" customWidth="1"/>
    <col min="2" max="2" width="9" style="3"/>
    <col min="11" max="11" width="9" style="110"/>
    <col min="35" max="35" width="9" style="126"/>
  </cols>
  <sheetData>
    <row r="1" spans="1:89" ht="10.5" customHeight="1" x14ac:dyDescent="0.15">
      <c r="A1" s="139" t="s">
        <v>940</v>
      </c>
      <c r="B1" s="13"/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</row>
    <row r="2" spans="1:89" ht="13.5" customHeight="1" x14ac:dyDescent="0.15">
      <c r="A2" s="14"/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</row>
    <row r="3" spans="1:89" ht="114" customHeight="1" x14ac:dyDescent="0.15">
      <c r="A3" s="141" t="s">
        <v>901</v>
      </c>
      <c r="B3" s="118" t="s">
        <v>902</v>
      </c>
      <c r="C3" s="118" t="s">
        <v>903</v>
      </c>
      <c r="D3" s="118" t="s">
        <v>904</v>
      </c>
      <c r="E3" s="118" t="s">
        <v>905</v>
      </c>
      <c r="F3" s="118" t="s">
        <v>906</v>
      </c>
      <c r="G3" s="118" t="s">
        <v>907</v>
      </c>
      <c r="H3" s="118" t="s">
        <v>781</v>
      </c>
      <c r="I3" s="118" t="s">
        <v>782</v>
      </c>
      <c r="J3" s="118" t="s">
        <v>783</v>
      </c>
      <c r="K3" s="118" t="s">
        <v>784</v>
      </c>
      <c r="L3" s="118" t="s">
        <v>785</v>
      </c>
      <c r="M3" s="118" t="s">
        <v>786</v>
      </c>
      <c r="N3" s="118" t="s">
        <v>787</v>
      </c>
      <c r="O3" s="118" t="s">
        <v>908</v>
      </c>
      <c r="P3" s="118" t="s">
        <v>789</v>
      </c>
      <c r="Q3" s="118" t="s">
        <v>909</v>
      </c>
      <c r="R3" s="118" t="s">
        <v>910</v>
      </c>
      <c r="S3" s="118" t="s">
        <v>792</v>
      </c>
      <c r="T3" s="118" t="s">
        <v>911</v>
      </c>
      <c r="U3" s="118" t="s">
        <v>794</v>
      </c>
      <c r="V3" s="118" t="s">
        <v>912</v>
      </c>
      <c r="W3" s="118" t="s">
        <v>913</v>
      </c>
      <c r="X3" s="118" t="s">
        <v>797</v>
      </c>
      <c r="Y3" s="118" t="s">
        <v>914</v>
      </c>
      <c r="Z3" s="118" t="s">
        <v>915</v>
      </c>
      <c r="AA3" s="118" t="s">
        <v>800</v>
      </c>
      <c r="AB3" s="119" t="s">
        <v>801</v>
      </c>
      <c r="AC3" s="119" t="s">
        <v>916</v>
      </c>
      <c r="AD3" s="119" t="s">
        <v>917</v>
      </c>
      <c r="AE3" s="119" t="s">
        <v>804</v>
      </c>
      <c r="AF3" s="119" t="s">
        <v>805</v>
      </c>
      <c r="AG3" s="119" t="s">
        <v>806</v>
      </c>
      <c r="AH3" s="119" t="s">
        <v>807</v>
      </c>
      <c r="AI3" s="119" t="s">
        <v>808</v>
      </c>
      <c r="AJ3" s="119" t="s">
        <v>809</v>
      </c>
      <c r="AK3" s="119" t="s">
        <v>810</v>
      </c>
      <c r="AL3" s="119" t="s">
        <v>918</v>
      </c>
      <c r="AM3" s="119" t="s">
        <v>919</v>
      </c>
      <c r="AN3" s="119" t="s">
        <v>920</v>
      </c>
      <c r="AO3" s="119" t="s">
        <v>814</v>
      </c>
      <c r="AP3" s="119" t="s">
        <v>815</v>
      </c>
      <c r="AQ3" s="119" t="s">
        <v>921</v>
      </c>
      <c r="AR3" s="119" t="s">
        <v>817</v>
      </c>
      <c r="AS3" s="119" t="s">
        <v>818</v>
      </c>
      <c r="AT3" s="119" t="s">
        <v>819</v>
      </c>
      <c r="AU3" s="119" t="s">
        <v>820</v>
      </c>
      <c r="AV3" s="119" t="s">
        <v>922</v>
      </c>
      <c r="AW3" s="119" t="s">
        <v>822</v>
      </c>
      <c r="AX3" s="119" t="s">
        <v>823</v>
      </c>
      <c r="AY3" s="119" t="s">
        <v>824</v>
      </c>
      <c r="AZ3" s="119" t="s">
        <v>825</v>
      </c>
      <c r="BA3" s="119" t="s">
        <v>826</v>
      </c>
      <c r="BB3" s="119" t="s">
        <v>923</v>
      </c>
      <c r="BC3" s="119" t="s">
        <v>828</v>
      </c>
      <c r="BD3" s="119" t="s">
        <v>924</v>
      </c>
      <c r="BE3" s="119" t="s">
        <v>925</v>
      </c>
      <c r="BF3" s="119" t="s">
        <v>926</v>
      </c>
      <c r="BG3" s="119" t="s">
        <v>832</v>
      </c>
      <c r="BH3" s="119" t="s">
        <v>833</v>
      </c>
      <c r="BI3" s="119" t="s">
        <v>834</v>
      </c>
      <c r="BJ3" s="119" t="s">
        <v>835</v>
      </c>
      <c r="BK3" s="119" t="s">
        <v>836</v>
      </c>
      <c r="BL3" s="119" t="s">
        <v>837</v>
      </c>
      <c r="BM3" s="119" t="s">
        <v>838</v>
      </c>
      <c r="BN3" s="119" t="s">
        <v>927</v>
      </c>
      <c r="BO3" s="119" t="s">
        <v>840</v>
      </c>
      <c r="BP3" s="119" t="s">
        <v>928</v>
      </c>
      <c r="BQ3" s="119" t="s">
        <v>842</v>
      </c>
      <c r="BR3" s="119" t="s">
        <v>929</v>
      </c>
      <c r="BS3" s="119" t="s">
        <v>930</v>
      </c>
      <c r="BT3" s="119" t="s">
        <v>931</v>
      </c>
      <c r="BU3" s="119" t="s">
        <v>846</v>
      </c>
      <c r="BV3" s="119" t="s">
        <v>932</v>
      </c>
      <c r="BW3" s="119" t="s">
        <v>848</v>
      </c>
      <c r="BX3" s="119" t="s">
        <v>933</v>
      </c>
      <c r="BY3" s="119" t="s">
        <v>850</v>
      </c>
      <c r="BZ3" s="119" t="s">
        <v>851</v>
      </c>
      <c r="CA3" s="119" t="s">
        <v>934</v>
      </c>
      <c r="CB3" s="119" t="s">
        <v>935</v>
      </c>
      <c r="CC3" s="119" t="s">
        <v>854</v>
      </c>
      <c r="CD3" s="119" t="s">
        <v>855</v>
      </c>
      <c r="CE3" s="117" t="s">
        <v>113</v>
      </c>
      <c r="CF3" s="14"/>
      <c r="CG3" s="14"/>
      <c r="CH3" s="14"/>
      <c r="CI3" s="14"/>
      <c r="CJ3" s="14"/>
      <c r="CK3" s="14"/>
    </row>
    <row r="4" spans="1:89" ht="13.5" customHeight="1" x14ac:dyDescent="0.15">
      <c r="A4" s="120" t="s">
        <v>521</v>
      </c>
      <c r="B4" s="116">
        <f>COUNTIFS(veri!G:G,1,veri!I:I,"&gt;=110",veri!I:I,"&lt;111")</f>
        <v>0</v>
      </c>
      <c r="C4" s="116">
        <f>COUNTIFS(veri!G:G,2,veri!I:I,"&gt;=110",veri!I:I,"&lt;111")</f>
        <v>0</v>
      </c>
      <c r="D4" s="116">
        <f>COUNTIFS(veri!G:G,3,veri!I:I,"&gt;=110",veri!I:I,"&lt;111")</f>
        <v>0</v>
      </c>
      <c r="E4" s="116">
        <f>COUNTIFS(veri!G:G,4,veri!I:I,"&gt;=110",veri!I:I,"&lt;111")</f>
        <v>0</v>
      </c>
      <c r="F4" s="116">
        <f>COUNTIFS(veri!G:G,5,veri!I:I,"&gt;=110",veri!I:I,"&lt;111")</f>
        <v>0</v>
      </c>
      <c r="G4" s="116">
        <f>COUNTIFS(veri!G:G,6,veri!I:I,"&gt;=110",veri!I:I,"&lt;111")</f>
        <v>0</v>
      </c>
      <c r="H4" s="116">
        <f>COUNTIFS(veri!G:G,7,veri!I:I,"&gt;=110",veri!I:I,"&lt;111")</f>
        <v>0</v>
      </c>
      <c r="I4" s="116">
        <f>COUNTIFS(veri!G:G,8,veri!I:I,"&gt;=110",veri!I:I,"&lt;111")</f>
        <v>0</v>
      </c>
      <c r="J4" s="116">
        <f>COUNTIFS(veri!G:G,9,veri!I:I,"&gt;=110",veri!I:I,"&lt;111")</f>
        <v>0</v>
      </c>
      <c r="K4" s="116">
        <f>COUNTIFS(veri!G:G,10,veri!I:I,"&gt;=110",veri!I:I,"&lt;111")</f>
        <v>0</v>
      </c>
      <c r="L4" s="116">
        <f>COUNTIFS(veri!G:G,11,veri!I:I,"&gt;=110",veri!I:I,"&lt;111")</f>
        <v>0</v>
      </c>
      <c r="M4" s="116">
        <f>COUNTIFS(veri!G:G,12,veri!I:I,"&gt;=110",veri!I:I,"&lt;111")</f>
        <v>0</v>
      </c>
      <c r="N4" s="116">
        <f>COUNTIFS(veri!G:G,13,veri!I:I,"&gt;=110",veri!I:I,"&lt;111")</f>
        <v>0</v>
      </c>
      <c r="O4" s="116">
        <f>COUNTIFS(veri!G:G,14,veri!I:I,"&gt;=110",veri!I:I,"&lt;111")</f>
        <v>0</v>
      </c>
      <c r="P4" s="116">
        <f>COUNTIFS(veri!G:G,15,veri!I:I,"&gt;=110",veri!I:I,"&lt;111")</f>
        <v>0</v>
      </c>
      <c r="Q4" s="116">
        <f>COUNTIFS(veri!G:G,16,veri!I:I,"&gt;=110",veri!I:I,"&lt;111")</f>
        <v>0</v>
      </c>
      <c r="R4" s="116">
        <f>COUNTIFS(veri!G:G,17,veri!I:I,"&gt;=110",veri!I:I,"&lt;111")</f>
        <v>0</v>
      </c>
      <c r="S4" s="116">
        <f>COUNTIFS(veri!G:G,18,veri!I:I,"&gt;=110",veri!I:I,"&lt;111")</f>
        <v>0</v>
      </c>
      <c r="T4" s="116">
        <f>COUNTIFS(veri!G:G,19,veri!I:I,"&gt;=110",veri!I:I,"&lt;111")</f>
        <v>0</v>
      </c>
      <c r="U4" s="116">
        <f>COUNTIFS(veri!G:G,20,veri!I:I,"&gt;=110",veri!I:I,"&lt;111")</f>
        <v>0</v>
      </c>
      <c r="V4" s="116">
        <f>COUNTIFS(veri!G:G,21,veri!I:I,"&gt;=110",veri!I:I,"&lt;111")</f>
        <v>0</v>
      </c>
      <c r="W4" s="116">
        <f>COUNTIFS(veri!G:G,22,veri!I:I,"&gt;=110",veri!I:I,"&lt;111")</f>
        <v>0</v>
      </c>
      <c r="X4" s="116">
        <f>COUNTIFS(veri!G:G,23,veri!I:I,"&gt;=110",veri!I:I,"&lt;111")</f>
        <v>0</v>
      </c>
      <c r="Y4" s="116">
        <f>COUNTIFS(veri!G:G,24,veri!I:I,"&gt;=110",veri!I:I,"&lt;111")</f>
        <v>0</v>
      </c>
      <c r="Z4" s="116">
        <f>COUNTIFS(veri!G:G,25,veri!I:I,"&gt;=110",veri!I:I,"&lt;111")</f>
        <v>0</v>
      </c>
      <c r="AA4" s="116">
        <f>COUNTIFS(veri!G:G,26,veri!I:I,"&gt;=110",veri!I:I,"&lt;111")</f>
        <v>0</v>
      </c>
      <c r="AB4" s="116">
        <f>COUNTIFS(veri!G:G,51,veri!I:I,"&gt;=110",veri!I:I,"&lt;111")</f>
        <v>0</v>
      </c>
      <c r="AC4" s="116">
        <f>COUNTIFS(veri!G:G,52,veri!I:I,"&gt;=110",veri!I:I,"&lt;111")</f>
        <v>0</v>
      </c>
      <c r="AD4" s="116">
        <f>COUNTIFS(veri!G:G,53,veri!I:I,"&gt;=110",veri!I:I,"&lt;111")</f>
        <v>0</v>
      </c>
      <c r="AE4" s="116">
        <f>COUNTIFS(veri!G:G,54,veri!I:I,"&gt;=110",veri!I:I,"&lt;111")</f>
        <v>0</v>
      </c>
      <c r="AF4" s="116">
        <f>COUNTIFS(veri!G:G,55,veri!I:I,"&gt;=110",veri!I:I,"&lt;111")</f>
        <v>0</v>
      </c>
      <c r="AG4" s="116">
        <f>COUNTIFS(veri!G:G,56,veri!I:I,"&gt;=110",veri!I:I,"&lt;111")</f>
        <v>0</v>
      </c>
      <c r="AH4" s="116">
        <f>COUNTIFS(veri!G:G,57,veri!I:I,"&gt;=110",veri!I:I,"&lt;111")</f>
        <v>0</v>
      </c>
      <c r="AI4" s="116">
        <f>COUNTIFS(veri!G:G,58,veri!I:I,"&gt;=110",veri!I:I,"&lt;111")</f>
        <v>0</v>
      </c>
      <c r="AJ4" s="116">
        <f>COUNTIFS(veri!G:G,59,veri!I:I,"&gt;=110",veri!I:I,"&lt;111")</f>
        <v>0</v>
      </c>
      <c r="AK4" s="116">
        <f>COUNTIFS(veri!G:G,60,veri!I:I,"&gt;=110",veri!I:I,"&lt;111")</f>
        <v>0</v>
      </c>
      <c r="AL4" s="116">
        <f>COUNTIFS(veri!G:G,61,veri!I:I,"&gt;=110",veri!I:I,"&lt;111")</f>
        <v>0</v>
      </c>
      <c r="AM4" s="116">
        <f>COUNTIFS(veri!G:G,62,veri!I:I,"&gt;=110",veri!I:I,"&lt;111")</f>
        <v>0</v>
      </c>
      <c r="AN4" s="116">
        <f>COUNTIFS(veri!G:G,63,veri!I:I,"&gt;=110",veri!I:I,"&lt;111")</f>
        <v>0</v>
      </c>
      <c r="AO4" s="116">
        <f>COUNTIFS(veri!G:G,64,veri!I:I,"&gt;=110",veri!I:I,"&lt;111")</f>
        <v>0</v>
      </c>
      <c r="AP4" s="116">
        <f>COUNTIFS(veri!G:G,65,veri!I:I,"&gt;=110",veri!I:I,"&lt;111")</f>
        <v>0</v>
      </c>
      <c r="AQ4" s="116">
        <f>COUNTIFS(veri!G:G,66,veri!I:I,"&gt;=110",veri!I:I,"&lt;111")</f>
        <v>0</v>
      </c>
      <c r="AR4" s="116">
        <f>COUNTIFS(veri!G:G,67,veri!I:I,"&gt;=110",veri!I:I,"&lt;111")</f>
        <v>0</v>
      </c>
      <c r="AS4" s="116">
        <f>COUNTIFS(veri!G:G,68,veri!I:I,"&gt;=110",veri!I:I,"&lt;111")</f>
        <v>0</v>
      </c>
      <c r="AT4" s="116">
        <f>COUNTIFS(veri!G:G,69,veri!I:I,"&gt;=110",veri!I:I,"&lt;111")</f>
        <v>0</v>
      </c>
      <c r="AU4" s="116">
        <f>COUNTIFS(veri!G:G,70,veri!I:I,"&gt;=110",veri!I:I,"&lt;111")</f>
        <v>0</v>
      </c>
      <c r="AV4" s="116">
        <f>COUNTIFS(veri!G:G,71,veri!I:I,"&gt;=110",veri!I:I,"&lt;111")</f>
        <v>0</v>
      </c>
      <c r="AW4" s="116">
        <f>COUNTIFS(veri!G:G,72,veri!I:I,"&gt;=110",veri!I:I,"&lt;111")</f>
        <v>0</v>
      </c>
      <c r="AX4" s="116">
        <f>COUNTIFS(veri!G:G,73,veri!I:I,"&gt;=110",veri!I:I,"&lt;111")</f>
        <v>0</v>
      </c>
      <c r="AY4" s="116">
        <f>COUNTIFS(veri!G:G,74,veri!I:I,"&gt;=110",veri!I:I,"&lt;111")</f>
        <v>0</v>
      </c>
      <c r="AZ4" s="116">
        <f>COUNTIFS(veri!G:G,75,veri!I:I,"&gt;=110",veri!I:I,"&lt;111")</f>
        <v>0</v>
      </c>
      <c r="BA4" s="116">
        <f>COUNTIFS(veri!G:G,76,veri!I:I,"&gt;=110",veri!I:I,"&lt;111")</f>
        <v>0</v>
      </c>
      <c r="BB4" s="116">
        <f>COUNTIFS(veri!G:G,77,veri!I:I,"&gt;=110",veri!I:I,"&lt;111")</f>
        <v>0</v>
      </c>
      <c r="BC4" s="116">
        <f>COUNTIFS(veri!G:G,78,veri!I:I,"&gt;=110",veri!I:I,"&lt;111")</f>
        <v>0</v>
      </c>
      <c r="BD4" s="116">
        <f>COUNTIFS(veri!G:G,79,veri!I:I,"&gt;=110",veri!I:I,"&lt;111")</f>
        <v>0</v>
      </c>
      <c r="BE4" s="116">
        <f>COUNTIFS(veri!G:G,80,veri!I:I,"&gt;=110",veri!I:I,"&lt;111")</f>
        <v>0</v>
      </c>
      <c r="BF4" s="116">
        <f>COUNTIFS(veri!G:G,81,veri!I:I,"&gt;=110",veri!I:I,"&lt;111")</f>
        <v>0</v>
      </c>
      <c r="BG4" s="116">
        <f>COUNTIFS(veri!G:G,82,veri!I:I,"&gt;=110",veri!I:I,"&lt;111")</f>
        <v>0</v>
      </c>
      <c r="BH4" s="116">
        <f>COUNTIFS(veri!G:G,83,veri!I:I,"&gt;=110",veri!I:I,"&lt;111")</f>
        <v>0</v>
      </c>
      <c r="BI4" s="116">
        <f>COUNTIFS(veri!G:G,84,veri!I:I,"&gt;=110",veri!I:I,"&lt;111")</f>
        <v>0</v>
      </c>
      <c r="BJ4" s="116">
        <f>COUNTIFS(veri!G:G,85,veri!I:I,"&gt;=110",veri!I:I,"&lt;111")</f>
        <v>0</v>
      </c>
      <c r="BK4" s="116">
        <f>COUNTIFS(veri!G:G,86,veri!I:I,"&gt;=110",veri!I:I,"&lt;111")</f>
        <v>0</v>
      </c>
      <c r="BL4" s="116">
        <f>COUNTIFS(veri!G:G,87,veri!I:I,"&gt;=110",veri!I:I,"&lt;111")</f>
        <v>0</v>
      </c>
      <c r="BM4" s="116">
        <f>COUNTIFS(veri!G:G,88,veri!I:I,"&gt;=110",veri!I:I,"&lt;111")</f>
        <v>0</v>
      </c>
      <c r="BN4" s="116">
        <f>COUNTIFS(veri!G:G,89,veri!I:I,"&gt;=110",veri!I:I,"&lt;111")</f>
        <v>0</v>
      </c>
      <c r="BO4" s="116">
        <f>COUNTIFS(veri!G:G,90,veri!I:I,"&gt;=110",veri!I:I,"&lt;111")</f>
        <v>0</v>
      </c>
      <c r="BP4" s="116">
        <f>COUNTIFS(veri!G:G,91,veri!I:I,"&gt;=110",veri!I:I,"&lt;111")</f>
        <v>0</v>
      </c>
      <c r="BQ4" s="116">
        <f>COUNTIFS(veri!G:G,92,veri!I:I,"&gt;=110",veri!I:I,"&lt;111")</f>
        <v>0</v>
      </c>
      <c r="BR4" s="116">
        <f>COUNTIFS(veri!G:G,93,veri!I:I,"&gt;=110",veri!I:I,"&lt;111")</f>
        <v>0</v>
      </c>
      <c r="BS4" s="116">
        <f>COUNTIFS(veri!G:G,94,veri!I:I,"&gt;=110",veri!I:I,"&lt;111")</f>
        <v>0</v>
      </c>
      <c r="BT4" s="116">
        <f>COUNTIFS(veri!G:G,95,veri!I:I,"&gt;=110",veri!I:I,"&lt;111")</f>
        <v>0</v>
      </c>
      <c r="BU4" s="116">
        <f>COUNTIFS(veri!G:G,96,veri!I:I,"&gt;=110",veri!I:I,"&lt;111")</f>
        <v>0</v>
      </c>
      <c r="BV4" s="116">
        <f>COUNTIFS(veri!G:G,97,veri!I:I,"&gt;=110",veri!I:I,"&lt;111")</f>
        <v>0</v>
      </c>
      <c r="BW4" s="116">
        <f>COUNTIFS(veri!G:G,98,veri!I:I,"&gt;=110",veri!I:I,"&lt;111")</f>
        <v>0</v>
      </c>
      <c r="BX4" s="116">
        <f>COUNTIFS(veri!G:G,99,veri!I:I,"&gt;=110",veri!I:I,"&lt;111")</f>
        <v>0</v>
      </c>
      <c r="BY4" s="116">
        <f>COUNTIFS(veri!G:G,100,veri!I:I,"&gt;=110",veri!I:I,"&lt;111")</f>
        <v>0</v>
      </c>
      <c r="BZ4" s="116">
        <f>COUNTIFS(veri!G:G,101,veri!I:I,"&gt;=110",veri!I:I,"&lt;111")</f>
        <v>0</v>
      </c>
      <c r="CA4" s="116">
        <f>COUNTIFS(veri!G:G,102,veri!I:I,"&gt;=110",veri!I:I,"&lt;111")</f>
        <v>0</v>
      </c>
      <c r="CB4" s="116">
        <f>COUNTIFS(veri!G:G,103,veri!I:I,"&gt;=110",veri!I:I,"&lt;111")</f>
        <v>0</v>
      </c>
      <c r="CC4" s="116">
        <f>COUNTIFS(veri!G:G,104,veri!I:I,"&gt;=110",veri!I:I,"&lt;111")</f>
        <v>0</v>
      </c>
      <c r="CD4" s="116">
        <f>COUNTIFS(veri!G:G,105,veri!I:I,"&gt;=110",veri!I:I,"&lt;111")</f>
        <v>0</v>
      </c>
      <c r="CE4" s="121">
        <f t="shared" ref="CE4:CE12" si="0">SUM(B4:CD4)</f>
        <v>0</v>
      </c>
      <c r="CF4" s="14"/>
      <c r="CG4" s="14"/>
      <c r="CH4" s="14"/>
      <c r="CI4" s="14"/>
      <c r="CJ4" s="14"/>
      <c r="CK4" s="14"/>
    </row>
    <row r="5" spans="1:89" ht="13.5" customHeight="1" x14ac:dyDescent="0.15">
      <c r="A5" s="122" t="s">
        <v>941</v>
      </c>
      <c r="B5" s="123">
        <f>COUNTIFS(veri!G:G,1,veri!I:I,"&gt;=120",veri!I:I,"&lt;121")</f>
        <v>0</v>
      </c>
      <c r="C5" s="123">
        <f>COUNTIFS(veri!G:G,2,veri!I:I,"&gt;=120",veri!I:I,"&lt;121")</f>
        <v>0</v>
      </c>
      <c r="D5" s="123">
        <f>COUNTIFS(veri!G:G,3,veri!I:I,"&gt;=120",veri!I:I,"&lt;121")</f>
        <v>0</v>
      </c>
      <c r="E5" s="123">
        <f>COUNTIFS(veri!G:G,4,veri!I:I,"&gt;=120",veri!I:I,"&lt;121")</f>
        <v>0</v>
      </c>
      <c r="F5" s="123">
        <f>COUNTIFS(veri!G:G,5,veri!I:I,"&gt;=120",veri!I:I,"&lt;121")</f>
        <v>0</v>
      </c>
      <c r="G5" s="123">
        <f>COUNTIFS(veri!G:G,6,veri!I:I,"&gt;=120",veri!I:I,"&lt;121")</f>
        <v>0</v>
      </c>
      <c r="H5" s="123">
        <f>COUNTIFS(veri!G:G,7,veri!I:I,"&gt;=120",veri!I:I,"&lt;121")</f>
        <v>0</v>
      </c>
      <c r="I5" s="123">
        <f>COUNTIFS(veri!G:G,8,veri!I:I,"&gt;=120",veri!I:I,"&lt;121")</f>
        <v>0</v>
      </c>
      <c r="J5" s="123">
        <f>COUNTIFS(veri!G:G,9,veri!I:I,"&gt;=120",veri!I:I,"&lt;121")</f>
        <v>0</v>
      </c>
      <c r="K5" s="123">
        <f>COUNTIFS(veri!G:G,10,veri!I:I,"&gt;=120",veri!I:I,"&lt;121")</f>
        <v>0</v>
      </c>
      <c r="L5" s="123">
        <f>COUNTIFS(veri!G:G,11,veri!I:I,"&gt;=120",veri!I:I,"&lt;121")</f>
        <v>0</v>
      </c>
      <c r="M5" s="123">
        <f>COUNTIFS(veri!G:G,12,veri!I:I,"&gt;=120",veri!I:I,"&lt;121")</f>
        <v>0</v>
      </c>
      <c r="N5" s="123">
        <f>COUNTIFS(veri!G:G,13,veri!I:I,"&gt;=120",veri!I:I,"&lt;121")</f>
        <v>0</v>
      </c>
      <c r="O5" s="123">
        <f>COUNTIFS(veri!G:G,14,veri!I:I,"&gt;=120",veri!I:I,"&lt;121")</f>
        <v>0</v>
      </c>
      <c r="P5" s="123">
        <f>COUNTIFS(veri!G:G,15,veri!I:I,"&gt;=120",veri!I:I,"&lt;121")</f>
        <v>0</v>
      </c>
      <c r="Q5" s="123">
        <f>COUNTIFS(veri!G:G,16,veri!I:I,"&gt;=120",veri!I:I,"&lt;121")</f>
        <v>0</v>
      </c>
      <c r="R5" s="124">
        <f>COUNTIFS(veri!G:G,17,veri!I:I,"&gt;=120",veri!I:I,"&lt;121")</f>
        <v>0</v>
      </c>
      <c r="S5" s="123">
        <f>COUNTIFS(veri!G:G,18,veri!I:I,"&gt;=120",veri!I:I,"&lt;121")</f>
        <v>0</v>
      </c>
      <c r="T5" s="123">
        <f>COUNTIFS(veri!G:G,19,veri!I:I,"&gt;=120",veri!I:I,"&lt;121")</f>
        <v>0</v>
      </c>
      <c r="U5" s="123">
        <f>COUNTIFS(veri!G:G,20,veri!I:I,"&gt;=120",veri!I:I,"&lt;121")</f>
        <v>0</v>
      </c>
      <c r="V5" s="123">
        <f>COUNTIFS(veri!G:G,21,veri!I:I,"&gt;=120",veri!I:I,"&lt;121")</f>
        <v>0</v>
      </c>
      <c r="W5" s="123">
        <f>COUNTIFS(veri!G:G,22,veri!I:I,"&gt;=120",veri!I:I,"&lt;121")</f>
        <v>0</v>
      </c>
      <c r="X5" s="123">
        <f>COUNTIFS(veri!G:G,23,veri!I:I,"&gt;=120",veri!I:I,"&lt;121")</f>
        <v>0</v>
      </c>
      <c r="Y5" s="123">
        <f>COUNTIFS(veri!G:G,24,veri!I:I,"&gt;=120",veri!I:I,"&lt;121")</f>
        <v>0</v>
      </c>
      <c r="Z5" s="123">
        <f>COUNTIFS(veri!G:G,25,veri!I:I,"&gt;=120",veri!I:I,"&lt;121")</f>
        <v>0</v>
      </c>
      <c r="AA5" s="123">
        <f>COUNTIFS(veri!G:G,26,veri!I:I,"&gt;=120",veri!I:I,"&lt;121")</f>
        <v>0</v>
      </c>
      <c r="AB5" s="123">
        <f>COUNTIFS(veri!G:G,51,veri!I:I,"&gt;=120",veri!I:I,"&lt;121")</f>
        <v>0</v>
      </c>
      <c r="AC5" s="123">
        <f>COUNTIFS(veri!G:G,52,veri!I:I,"&gt;=120",veri!I:I,"&lt;121")</f>
        <v>0</v>
      </c>
      <c r="AD5" s="123">
        <f>COUNTIFS(veri!G:G,53,veri!I:I,"&gt;=120",veri!I:I,"&lt;121")</f>
        <v>0</v>
      </c>
      <c r="AE5" s="123">
        <f>COUNTIFS(veri!G:G,54,veri!I:I,"&gt;=120",veri!I:I,"&lt;121")</f>
        <v>0</v>
      </c>
      <c r="AF5" s="123">
        <f>COUNTIFS(veri!G:G,55,veri!I:I,"&gt;=120",veri!I:I,"&lt;121")</f>
        <v>0</v>
      </c>
      <c r="AG5" s="123">
        <f>COUNTIFS(veri!G:G,56,veri!I:I,"&gt;=120",veri!I:I,"&lt;121")</f>
        <v>0</v>
      </c>
      <c r="AH5" s="123">
        <f>COUNTIFS(veri!G:G,57,veri!I:I,"&gt;=120",veri!I:I,"&lt;121")</f>
        <v>0</v>
      </c>
      <c r="AI5" s="123">
        <f>COUNTIFS(veri!G:G,58,veri!I:I,"&gt;=120",veri!I:I,"&lt;121")</f>
        <v>0</v>
      </c>
      <c r="AJ5" s="123">
        <f>COUNTIFS(veri!G:G,59,veri!I:I,"&gt;=120",veri!I:I,"&lt;121")</f>
        <v>0</v>
      </c>
      <c r="AK5" s="123">
        <f>COUNTIFS(veri!G:G,60,veri!I:I,"&gt;=120",veri!I:I,"&lt;121")</f>
        <v>0</v>
      </c>
      <c r="AL5" s="123">
        <f>COUNTIFS(veri!G:G,61,veri!I:I,"&gt;=120",veri!I:I,"&lt;121")</f>
        <v>0</v>
      </c>
      <c r="AM5" s="123">
        <f>COUNTIFS(veri!G:G,62,veri!I:I,"&gt;=120",veri!I:I,"&lt;121")</f>
        <v>0</v>
      </c>
      <c r="AN5" s="123">
        <f>COUNTIFS(veri!G:G,63,veri!I:I,"&gt;=120",veri!I:I,"&lt;121")</f>
        <v>0</v>
      </c>
      <c r="AO5" s="123">
        <f>COUNTIFS(veri!G:G,64,veri!I:I,"&gt;=120",veri!I:I,"&lt;121")</f>
        <v>0</v>
      </c>
      <c r="AP5" s="123">
        <f>COUNTIFS(veri!G:G,65,veri!I:I,"&gt;=120",veri!I:I,"&lt;121")</f>
        <v>0</v>
      </c>
      <c r="AQ5" s="123">
        <f>COUNTIFS(veri!G:G,66,veri!I:I,"&gt;=120",veri!I:I,"&lt;121")</f>
        <v>0</v>
      </c>
      <c r="AR5" s="123">
        <f>COUNTIFS(veri!G:G,67,veri!I:I,"&gt;=120",veri!I:I,"&lt;121")</f>
        <v>0</v>
      </c>
      <c r="AS5" s="123">
        <f>COUNTIFS(veri!G:G,68,veri!I:I,"&gt;=120",veri!I:I,"&lt;121")</f>
        <v>0</v>
      </c>
      <c r="AT5" s="123">
        <f>COUNTIFS(veri!G:G,69,veri!I:I,"&gt;=120",veri!I:I,"&lt;121")</f>
        <v>0</v>
      </c>
      <c r="AU5" s="123">
        <f>COUNTIFS(veri!G:G,70,veri!I:I,"&gt;=120",veri!I:I,"&lt;121")</f>
        <v>0</v>
      </c>
      <c r="AV5" s="123">
        <f>COUNTIFS(veri!G:G,71,veri!I:I,"&gt;=120",veri!I:I,"&lt;121")</f>
        <v>0</v>
      </c>
      <c r="AW5" s="123">
        <f>COUNTIFS(veri!G:G,72,veri!I:I,"&gt;=120",veri!I:I,"&lt;121")</f>
        <v>0</v>
      </c>
      <c r="AX5" s="123">
        <f>COUNTIFS(veri!G:G,73,veri!I:I,"&gt;=120",veri!I:I,"&lt;121")</f>
        <v>0</v>
      </c>
      <c r="AY5" s="123">
        <f>COUNTIFS(veri!G:G,74,veri!I:I,"&gt;=120",veri!I:I,"&lt;121")</f>
        <v>0</v>
      </c>
      <c r="AZ5" s="123">
        <f>COUNTIFS(veri!G:G,75,veri!I:I,"&gt;=120",veri!I:I,"&lt;121")</f>
        <v>0</v>
      </c>
      <c r="BA5" s="123">
        <f>COUNTIFS(veri!G:G,76,veri!I:I,"&gt;=120",veri!I:I,"&lt;121")</f>
        <v>0</v>
      </c>
      <c r="BB5" s="123">
        <f>COUNTIFS(veri!G:G,77,veri!I:I,"&gt;=120",veri!I:I,"&lt;121")</f>
        <v>0</v>
      </c>
      <c r="BC5" s="123">
        <f>COUNTIFS(veri!G:G,78,veri!I:I,"&gt;=120",veri!I:I,"&lt;121")</f>
        <v>0</v>
      </c>
      <c r="BD5" s="123">
        <f>COUNTIFS(veri!G:G,79,veri!I:I,"&gt;=120",veri!I:I,"&lt;121")</f>
        <v>0</v>
      </c>
      <c r="BE5" s="123">
        <f>COUNTIFS(veri!G:G,80,veri!I:I,"&gt;=120",veri!I:I,"&lt;121")</f>
        <v>0</v>
      </c>
      <c r="BF5" s="123">
        <f>COUNTIFS(veri!G:G,81,veri!I:I,"&gt;=120",veri!I:I,"&lt;121")</f>
        <v>0</v>
      </c>
      <c r="BG5" s="123">
        <f>COUNTIFS(veri!G:G,82,veri!I:I,"&gt;=120",veri!I:I,"&lt;121")</f>
        <v>0</v>
      </c>
      <c r="BH5" s="123">
        <f>COUNTIFS(veri!G:G,83,veri!I:I,"&gt;=120",veri!I:I,"&lt;121")</f>
        <v>0</v>
      </c>
      <c r="BI5" s="123">
        <f>COUNTIFS(veri!G:G,84,veri!I:I,"&gt;=120",veri!I:I,"&lt;121")</f>
        <v>0</v>
      </c>
      <c r="BJ5" s="123">
        <f>COUNTIFS(veri!G:G,85,veri!I:I,"&gt;=120",veri!I:I,"&lt;121")</f>
        <v>0</v>
      </c>
      <c r="BK5" s="123">
        <f>COUNTIFS(veri!G:G,86,veri!I:I,"&gt;=120",veri!I:I,"&lt;121")</f>
        <v>0</v>
      </c>
      <c r="BL5" s="123">
        <f>COUNTIFS(veri!G:G,87,veri!I:I,"&gt;=120",veri!I:I,"&lt;121")</f>
        <v>0</v>
      </c>
      <c r="BM5" s="123">
        <f>COUNTIFS(veri!G:G,88,veri!I:I,"&gt;=120",veri!I:I,"&lt;121")</f>
        <v>0</v>
      </c>
      <c r="BN5" s="123">
        <f>COUNTIFS(veri!G:G,89,veri!I:I,"&gt;=120",veri!I:I,"&lt;121")</f>
        <v>0</v>
      </c>
      <c r="BO5" s="123">
        <f>COUNTIFS(veri!G:G,90,veri!I:I,"&gt;=120",veri!I:I,"&lt;121")</f>
        <v>0</v>
      </c>
      <c r="BP5" s="123">
        <f>COUNTIFS(veri!G:G,91,veri!I:I,"&gt;=120",veri!I:I,"&lt;121")</f>
        <v>0</v>
      </c>
      <c r="BQ5" s="123">
        <f>COUNTIFS(veri!G:G,92,veri!I:I,"&gt;=120",veri!I:I,"&lt;121")</f>
        <v>0</v>
      </c>
      <c r="BR5" s="123">
        <f>COUNTIFS(veri!G:G,93,veri!I:I,"&gt;=120",veri!I:I,"&lt;121")</f>
        <v>0</v>
      </c>
      <c r="BS5" s="123">
        <f>COUNTIFS(veri!G:G,94,veri!I:I,"&gt;=120",veri!I:I,"&lt;121")</f>
        <v>0</v>
      </c>
      <c r="BT5" s="123">
        <f>COUNTIFS(veri!G:G,95,veri!I:I,"&gt;=120",veri!I:I,"&lt;121")</f>
        <v>0</v>
      </c>
      <c r="BU5" s="123">
        <f>COUNTIFS(veri!G:G,96,veri!I:I,"&gt;=120",veri!I:I,"&lt;121")</f>
        <v>0</v>
      </c>
      <c r="BV5" s="123">
        <f>COUNTIFS(veri!G:G,97,veri!I:I,"&gt;=120",veri!I:I,"&lt;121")</f>
        <v>0</v>
      </c>
      <c r="BW5" s="123">
        <f>COUNTIFS(veri!G:G,98,veri!I:I,"&gt;=120",veri!I:I,"&lt;121")</f>
        <v>0</v>
      </c>
      <c r="BX5" s="123">
        <f>COUNTIFS(veri!G:G,99,veri!I:I,"&gt;=120",veri!I:I,"&lt;121")</f>
        <v>0</v>
      </c>
      <c r="BY5" s="123">
        <f>COUNTIFS(veri!G:G,100,veri!I:I,"&gt;=120",veri!I:I,"&lt;121")</f>
        <v>0</v>
      </c>
      <c r="BZ5" s="123">
        <f>COUNTIFS(veri!G:G,101,veri!I:I,"&gt;=120",veri!I:I,"&lt;121")</f>
        <v>0</v>
      </c>
      <c r="CA5" s="123">
        <f>COUNTIFS(veri!G:G,102,veri!I:I,"&gt;=120",veri!I:I,"&lt;121")</f>
        <v>0</v>
      </c>
      <c r="CB5" s="123">
        <f>COUNTIFS(veri!G:G,103,veri!I:I,"&gt;=120",veri!I:I,"&lt;121")</f>
        <v>0</v>
      </c>
      <c r="CC5" s="123">
        <f>COUNTIFS(veri!G:G,104,veri!I:I,"&gt;=120",veri!I:I,"&lt;121")</f>
        <v>0</v>
      </c>
      <c r="CD5" s="123">
        <f>COUNTIFS(veri!G:G,105,veri!I:I,"&gt;=120",veri!I:I,"&lt;121")</f>
        <v>0</v>
      </c>
      <c r="CE5" s="121">
        <f t="shared" si="0"/>
        <v>0</v>
      </c>
      <c r="CF5" s="14"/>
      <c r="CG5" s="14"/>
      <c r="CH5" s="14"/>
      <c r="CI5" s="14"/>
      <c r="CJ5" s="14"/>
      <c r="CK5" s="14"/>
    </row>
    <row r="6" spans="1:89" ht="13.5" customHeight="1" x14ac:dyDescent="0.15">
      <c r="A6" s="120" t="s">
        <v>523</v>
      </c>
      <c r="B6" s="116">
        <f>COUNTIFS(veri!G:G,1,veri!I:I,"&gt;=130",veri!I:I,"&lt;131")</f>
        <v>0</v>
      </c>
      <c r="C6" s="116">
        <f>COUNTIFS(veri!G:G,2,veri!I:I,"&gt;=130",veri!I:I,"&lt;131")</f>
        <v>0</v>
      </c>
      <c r="D6" s="116">
        <f>COUNTIFS(veri!G:G,3,veri!I:I,"&gt;=130",veri!I:I,"&lt;131")</f>
        <v>0</v>
      </c>
      <c r="E6" s="116">
        <f>COUNTIFS(veri!G:G,4,veri!I:I,"&gt;=130",veri!I:I,"&lt;131")</f>
        <v>0</v>
      </c>
      <c r="F6" s="116">
        <f>COUNTIFS(veri!G:G,5,veri!I:I,"&gt;=130",veri!I:I,"&lt;131")</f>
        <v>0</v>
      </c>
      <c r="G6" s="116">
        <f>COUNTIFS(veri!G:G,6,veri!I:I,"&gt;=130",veri!I:I,"&lt;131")</f>
        <v>0</v>
      </c>
      <c r="H6" s="116">
        <f>COUNTIFS(veri!G:G,7,veri!I:I,"&gt;=130",veri!I:I,"&lt;131")</f>
        <v>0</v>
      </c>
      <c r="I6" s="116">
        <f>COUNTIFS(veri!G:G,8,veri!I:I,"&gt;=130",veri!I:I,"&lt;131")</f>
        <v>0</v>
      </c>
      <c r="J6" s="116">
        <f>COUNTIFS(veri!G:G,9,veri!I:I,"&gt;=130",veri!I:I,"&lt;131")</f>
        <v>0</v>
      </c>
      <c r="K6" s="116">
        <f>COUNTIFS(veri!G:G,10,veri!I:I,"&gt;=130",veri!I:I,"&lt;131")</f>
        <v>0</v>
      </c>
      <c r="L6" s="116">
        <f>COUNTIFS(veri!G:G,11,veri!I:I,"&gt;=130",veri!I:I,"&lt;131")</f>
        <v>0</v>
      </c>
      <c r="M6" s="116">
        <f>COUNTIFS(veri!G:G,12,veri!I:I,"&gt;=130",veri!I:I,"&lt;131")</f>
        <v>0</v>
      </c>
      <c r="N6" s="116">
        <f>COUNTIFS(veri!G:G,13,veri!I:I,"&gt;=130",veri!I:I,"&lt;131")</f>
        <v>0</v>
      </c>
      <c r="O6" s="116">
        <f>COUNTIFS(veri!G:G,14,veri!I:I,"&gt;=130",veri!I:I,"&lt;131")</f>
        <v>0</v>
      </c>
      <c r="P6" s="116">
        <f>COUNTIFS(veri!G:G,15,veri!I:I,"&gt;=130",veri!I:I,"&lt;131")</f>
        <v>0</v>
      </c>
      <c r="Q6" s="116">
        <f>COUNTIFS(veri!G:G,16,veri!I:I,"&gt;=130",veri!I:I,"&lt;131")</f>
        <v>0</v>
      </c>
      <c r="R6" s="127">
        <f>COUNTIFS(veri!G:G,17,veri!I:I,"&gt;=130",veri!I:I,"&lt;131")</f>
        <v>0</v>
      </c>
      <c r="S6" s="116">
        <f>COUNTIFS(veri!G:G,18,veri!I:I,"&gt;=130",veri!I:I,"&lt;131")</f>
        <v>0</v>
      </c>
      <c r="T6" s="116">
        <f>COUNTIFS(veri!G:G,19,veri!I:I,"&gt;=130",veri!I:I,"&lt;131")</f>
        <v>0</v>
      </c>
      <c r="U6" s="116">
        <f>COUNTIFS(veri!G:G,20,veri!I:I,"&gt;=130",veri!I:I,"&lt;131")</f>
        <v>0</v>
      </c>
      <c r="V6" s="116">
        <f>COUNTIFS(veri!G:G,21,veri!I:I,"&gt;=130",veri!I:I,"&lt;131")</f>
        <v>0</v>
      </c>
      <c r="W6" s="116">
        <f>COUNTIFS(veri!G:G,22,veri!I:I,"&gt;=130",veri!I:I,"&lt;131")</f>
        <v>0</v>
      </c>
      <c r="X6" s="116">
        <f>COUNTIFS(veri!G:G,23,veri!I:I,"&gt;=130",veri!I:I,"&lt;131")</f>
        <v>0</v>
      </c>
      <c r="Y6" s="116">
        <f>COUNTIFS(veri!G:G,24,veri!I:I,"&gt;=130",veri!I:I,"&lt;131")</f>
        <v>0</v>
      </c>
      <c r="Z6" s="116">
        <f>COUNTIFS(veri!G:G,25,veri!I:I,"&gt;=130",veri!I:I,"&lt;131")</f>
        <v>0</v>
      </c>
      <c r="AA6" s="116">
        <f>COUNTIFS(veri!G:G,26,veri!I:I,"&gt;=130",veri!I:I,"&lt;131")</f>
        <v>0</v>
      </c>
      <c r="AB6" s="116">
        <f>COUNTIFS(veri!G:G,51,veri!I:I,"&gt;=130",veri!I:I,"&lt;131")</f>
        <v>0</v>
      </c>
      <c r="AC6" s="116">
        <f>COUNTIFS(veri!G:G,52,veri!I:I,"&gt;=130",veri!I:I,"&lt;131")</f>
        <v>0</v>
      </c>
      <c r="AD6" s="116">
        <f>COUNTIFS(veri!G:G,53,veri!I:I,"&gt;=130",veri!I:I,"&lt;131")</f>
        <v>0</v>
      </c>
      <c r="AE6" s="116">
        <f>COUNTIFS(veri!G:G,54,veri!I:I,"&gt;=130",veri!I:I,"&lt;131")</f>
        <v>0</v>
      </c>
      <c r="AF6" s="116">
        <f>COUNTIFS(veri!G:G,55,veri!I:I,"&gt;=130",veri!I:I,"&lt;131")</f>
        <v>0</v>
      </c>
      <c r="AG6" s="116">
        <f>COUNTIFS(veri!G:G,56,veri!I:I,"&gt;=130",veri!I:I,"&lt;131")</f>
        <v>0</v>
      </c>
      <c r="AH6" s="116">
        <f>COUNTIFS(veri!G:G,57,veri!I:I,"&gt;=130",veri!I:I,"&lt;131")</f>
        <v>0</v>
      </c>
      <c r="AI6" s="116">
        <f>COUNTIFS(veri!G:G,58,veri!I:I,"&gt;=130",veri!I:I,"&lt;131")</f>
        <v>0</v>
      </c>
      <c r="AJ6" s="116">
        <f>COUNTIFS(veri!G:G,59,veri!I:I,"&gt;=130",veri!I:I,"&lt;131")</f>
        <v>0</v>
      </c>
      <c r="AK6" s="116">
        <f>COUNTIFS(veri!G:G,60,veri!I:I,"&gt;=130",veri!I:I,"&lt;131")</f>
        <v>0</v>
      </c>
      <c r="AL6" s="116">
        <f>COUNTIFS(veri!G:G,61,veri!I:I,"&gt;=130",veri!I:I,"&lt;131")</f>
        <v>0</v>
      </c>
      <c r="AM6" s="116">
        <f>COUNTIFS(veri!G:G,62,veri!I:I,"&gt;=130",veri!I:I,"&lt;131")</f>
        <v>0</v>
      </c>
      <c r="AN6" s="116">
        <f>COUNTIFS(veri!G:G,63,veri!I:I,"&gt;=130",veri!I:I,"&lt;131")</f>
        <v>0</v>
      </c>
      <c r="AO6" s="116">
        <f>COUNTIFS(veri!G:G,64,veri!I:I,"&gt;=130",veri!I:I,"&lt;131")</f>
        <v>0</v>
      </c>
      <c r="AP6" s="116">
        <f>COUNTIFS(veri!G:G,65,veri!I:I,"&gt;=130",veri!I:I,"&lt;131")</f>
        <v>0</v>
      </c>
      <c r="AQ6" s="116">
        <f>COUNTIFS(veri!G:G,66,veri!I:I,"&gt;=130",veri!I:I,"&lt;131")</f>
        <v>0</v>
      </c>
      <c r="AR6" s="116">
        <f>COUNTIFS(veri!G:G,67,veri!I:I,"&gt;=130",veri!I:I,"&lt;131")</f>
        <v>0</v>
      </c>
      <c r="AS6" s="116">
        <f>COUNTIFS(veri!G:G,68,veri!I:I,"&gt;=130",veri!I:I,"&lt;131")</f>
        <v>0</v>
      </c>
      <c r="AT6" s="116">
        <f>COUNTIFS(veri!G:G,69,veri!I:I,"&gt;=130",veri!I:I,"&lt;131")</f>
        <v>0</v>
      </c>
      <c r="AU6" s="116">
        <f>COUNTIFS(veri!G:G,70,veri!I:I,"&gt;=130",veri!I:I,"&lt;131")</f>
        <v>0</v>
      </c>
      <c r="AV6" s="116">
        <f>COUNTIFS(veri!G:G,71,veri!I:I,"&gt;=130",veri!I:I,"&lt;131")</f>
        <v>0</v>
      </c>
      <c r="AW6" s="116">
        <f>COUNTIFS(veri!G:G,72,veri!I:I,"&gt;=130",veri!I:I,"&lt;131")</f>
        <v>0</v>
      </c>
      <c r="AX6" s="116">
        <f>COUNTIFS(veri!G:G,73,veri!I:I,"&gt;=130",veri!I:I,"&lt;131")</f>
        <v>0</v>
      </c>
      <c r="AY6" s="116">
        <f>COUNTIFS(veri!G:G,74,veri!I:I,"&gt;=130",veri!I:I,"&lt;131")</f>
        <v>0</v>
      </c>
      <c r="AZ6" s="116">
        <f>COUNTIFS(veri!G:G,75,veri!I:I,"&gt;=130",veri!I:I,"&lt;131")</f>
        <v>0</v>
      </c>
      <c r="BA6" s="116">
        <f>COUNTIFS(veri!G:G,76,veri!I:I,"&gt;=130",veri!I:I,"&lt;131")</f>
        <v>0</v>
      </c>
      <c r="BB6" s="116">
        <f>COUNTIFS(veri!G:G,77,veri!I:I,"&gt;=130",veri!I:I,"&lt;131")</f>
        <v>0</v>
      </c>
      <c r="BC6" s="116">
        <f>COUNTIFS(veri!G:G,78,veri!I:I,"&gt;=130",veri!I:I,"&lt;131")</f>
        <v>0</v>
      </c>
      <c r="BD6" s="116">
        <f>COUNTIFS(veri!G:G,79,veri!I:I,"&gt;=130",veri!I:I,"&lt;131")</f>
        <v>0</v>
      </c>
      <c r="BE6" s="116">
        <f>COUNTIFS(veri!G:G,80,veri!I:I,"&gt;=130",veri!I:I,"&lt;131")</f>
        <v>0</v>
      </c>
      <c r="BF6" s="116">
        <f>COUNTIFS(veri!G:G,81,veri!I:I,"&gt;=130",veri!I:I,"&lt;131")</f>
        <v>0</v>
      </c>
      <c r="BG6" s="116">
        <f>COUNTIFS(veri!G:G,82,veri!I:I,"&gt;=130",veri!I:I,"&lt;131")</f>
        <v>0</v>
      </c>
      <c r="BH6" s="116">
        <f>COUNTIFS(veri!G:G,83,veri!I:I,"&gt;=130",veri!I:I,"&lt;131")</f>
        <v>0</v>
      </c>
      <c r="BI6" s="116">
        <f>COUNTIFS(veri!G:G,84,veri!I:I,"&gt;=130",veri!I:I,"&lt;131")</f>
        <v>0</v>
      </c>
      <c r="BJ6" s="116">
        <f>COUNTIFS(veri!G:G,85,veri!I:I,"&gt;=130",veri!I:I,"&lt;131")</f>
        <v>0</v>
      </c>
      <c r="BK6" s="116">
        <f>COUNTIFS(veri!G:G,86,veri!I:I,"&gt;=130",veri!I:I,"&lt;131")</f>
        <v>0</v>
      </c>
      <c r="BL6" s="116">
        <f>COUNTIFS(veri!G:G,87,veri!I:I,"&gt;=130",veri!I:I,"&lt;131")</f>
        <v>0</v>
      </c>
      <c r="BM6" s="116">
        <f>COUNTIFS(veri!G:G,88,veri!I:I,"&gt;=130",veri!I:I,"&lt;131")</f>
        <v>0</v>
      </c>
      <c r="BN6" s="116">
        <f>COUNTIFS(veri!G:G,89,veri!I:I,"&gt;=130",veri!I:I,"&lt;131")</f>
        <v>0</v>
      </c>
      <c r="BO6" s="116">
        <f>COUNTIFS(veri!G:G,90,veri!I:I,"&gt;=130",veri!I:I,"&lt;131")</f>
        <v>0</v>
      </c>
      <c r="BP6" s="116">
        <f>COUNTIFS(veri!G:G,91,veri!I:I,"&gt;=130",veri!I:I,"&lt;131")</f>
        <v>0</v>
      </c>
      <c r="BQ6" s="116">
        <f>COUNTIFS(veri!G:G,92,veri!I:I,"&gt;=130",veri!I:I,"&lt;131")</f>
        <v>0</v>
      </c>
      <c r="BR6" s="116">
        <f>COUNTIFS(veri!G:G,93,veri!I:I,"&gt;=130",veri!I:I,"&lt;131")</f>
        <v>0</v>
      </c>
      <c r="BS6" s="116">
        <f>COUNTIFS(veri!G:G,94,veri!I:I,"&gt;=130",veri!I:I,"&lt;131")</f>
        <v>0</v>
      </c>
      <c r="BT6" s="116">
        <f>COUNTIFS(veri!G:G,95,veri!I:I,"&gt;=130",veri!I:I,"&lt;131")</f>
        <v>0</v>
      </c>
      <c r="BU6" s="116">
        <f>COUNTIFS(veri!G:G,96,veri!I:I,"&gt;=130",veri!I:I,"&lt;131")</f>
        <v>0</v>
      </c>
      <c r="BV6" s="116">
        <f>COUNTIFS(veri!G:G,97,veri!I:I,"&gt;=130",veri!I:I,"&lt;131")</f>
        <v>0</v>
      </c>
      <c r="BW6" s="116">
        <f>COUNTIFS(veri!G:G,98,veri!I:I,"&gt;=130",veri!I:I,"&lt;131")</f>
        <v>0</v>
      </c>
      <c r="BX6" s="116">
        <f>COUNTIFS(veri!G:G,99,veri!I:I,"&gt;=130",veri!I:I,"&lt;131")</f>
        <v>0</v>
      </c>
      <c r="BY6" s="116">
        <f>COUNTIFS(veri!G:G,100,veri!I:I,"&gt;=130",veri!I:I,"&lt;131")</f>
        <v>0</v>
      </c>
      <c r="BZ6" s="116">
        <f>COUNTIFS(veri!G:G,101,veri!I:I,"&gt;=130",veri!I:I,"&lt;131")</f>
        <v>0</v>
      </c>
      <c r="CA6" s="116">
        <f>COUNTIFS(veri!G:G,102,veri!I:I,"&gt;=130",veri!I:I,"&lt;131")</f>
        <v>0</v>
      </c>
      <c r="CB6" s="116">
        <f>COUNTIFS(veri!G:G,103,veri!I:I,"&gt;=130",veri!I:I,"&lt;131")</f>
        <v>0</v>
      </c>
      <c r="CC6" s="116">
        <f>COUNTIFS(veri!G:G,104,veri!I:I,"&gt;=130",veri!I:I,"&lt;131")</f>
        <v>0</v>
      </c>
      <c r="CD6" s="116">
        <f>COUNTIFS(veri!G:G,105,veri!I:I,"&gt;=130",veri!I:I,"&lt;131")</f>
        <v>0</v>
      </c>
      <c r="CE6" s="121">
        <f t="shared" si="0"/>
        <v>0</v>
      </c>
      <c r="CF6" s="14"/>
      <c r="CG6" s="14"/>
      <c r="CH6" s="14"/>
      <c r="CI6" s="14"/>
      <c r="CJ6" s="14"/>
      <c r="CK6" s="14"/>
    </row>
    <row r="7" spans="1:89" ht="13.5" customHeight="1" x14ac:dyDescent="0.15">
      <c r="A7" s="122" t="s">
        <v>942</v>
      </c>
      <c r="B7" s="123">
        <f>COUNTIFS(veri!G:G,1,veri!I:I,"&gt;=140",veri!I:I,"&lt;141")</f>
        <v>0</v>
      </c>
      <c r="C7" s="123">
        <f>COUNTIFS(veri!G:G,2,veri!I:I,"&gt;=140",veri!I:I,"&lt;141")</f>
        <v>0</v>
      </c>
      <c r="D7" s="123">
        <f>COUNTIFS(veri!G:G,3,veri!I:I,"&gt;=140",veri!I:I,"&lt;141")</f>
        <v>0</v>
      </c>
      <c r="E7" s="123">
        <f>COUNTIFS(veri!G:G,4,veri!I:I,"&gt;=140",veri!I:I,"&lt;141")</f>
        <v>0</v>
      </c>
      <c r="F7" s="123">
        <f>COUNTIFS(veri!G:G,5,veri!I:I,"&gt;=140",veri!I:I,"&lt;141")</f>
        <v>0</v>
      </c>
      <c r="G7" s="123">
        <f>COUNTIFS(veri!G:G,6,veri!I:I,"&gt;=140",veri!I:I,"&lt;141")</f>
        <v>0</v>
      </c>
      <c r="H7" s="123">
        <f>COUNTIFS(veri!G:G,7,veri!I:I,"&gt;=140",veri!I:I,"&lt;141")</f>
        <v>0</v>
      </c>
      <c r="I7" s="123">
        <f>COUNTIFS(veri!G:G,8,veri!I:I,"&gt;=140",veri!I:I,"&lt;141")</f>
        <v>0</v>
      </c>
      <c r="J7" s="123">
        <f>COUNTIFS(veri!G:G,9,veri!I:I,"&gt;=140",veri!I:I,"&lt;141")</f>
        <v>0</v>
      </c>
      <c r="K7" s="123">
        <f>COUNTIFS(veri!G:G,10,veri!I:I,"&gt;=140",veri!I:I,"&lt;141")</f>
        <v>0</v>
      </c>
      <c r="L7" s="123">
        <f>COUNTIFS(veri!G:G,11,veri!I:I,"&gt;=140",veri!I:I,"&lt;141")</f>
        <v>0</v>
      </c>
      <c r="M7" s="123">
        <f>COUNTIFS(veri!G:G,12,veri!I:I,"&gt;=140",veri!I:I,"&lt;141")</f>
        <v>0</v>
      </c>
      <c r="N7" s="123">
        <f>COUNTIFS(veri!G:G,13,veri!I:I,"&gt;=140",veri!I:I,"&lt;141")</f>
        <v>0</v>
      </c>
      <c r="O7" s="123">
        <f>COUNTIFS(veri!G:G,14,veri!I:I,"&gt;=140",veri!I:I,"&lt;141")</f>
        <v>0</v>
      </c>
      <c r="P7" s="123">
        <f>COUNTIFS(veri!G:G,15,veri!I:I,"&gt;=140",veri!I:I,"&lt;141")</f>
        <v>0</v>
      </c>
      <c r="Q7" s="123">
        <f>COUNTIFS(veri!G:G,16,veri!I:I,"&gt;=140",veri!I:I,"&lt;141")</f>
        <v>0</v>
      </c>
      <c r="R7" s="124">
        <f>COUNTIFS(veri!G:G,17,veri!I:I,"&gt;=140",veri!I:I,"&lt;141")</f>
        <v>0</v>
      </c>
      <c r="S7" s="123">
        <f>COUNTIFS(veri!G:G,18,veri!I:I,"&gt;=140",veri!I:I,"&lt;141")</f>
        <v>0</v>
      </c>
      <c r="T7" s="123">
        <f>COUNTIFS(veri!G:G,19,veri!I:I,"&gt;=140",veri!I:I,"&lt;141")</f>
        <v>0</v>
      </c>
      <c r="U7" s="123">
        <f>COUNTIFS(veri!G:G,20,veri!I:I,"&gt;=140",veri!I:I,"&lt;141")</f>
        <v>0</v>
      </c>
      <c r="V7" s="123">
        <f>COUNTIFS(veri!G:G,21,veri!I:I,"&gt;=140",veri!I:I,"&lt;141")</f>
        <v>0</v>
      </c>
      <c r="W7" s="123">
        <f>COUNTIFS(veri!G:G,22,veri!I:I,"&gt;=140",veri!I:I,"&lt;141")</f>
        <v>0</v>
      </c>
      <c r="X7" s="123">
        <f>COUNTIFS(veri!G:G,23,veri!I:I,"&gt;=140",veri!I:I,"&lt;141")</f>
        <v>0</v>
      </c>
      <c r="Y7" s="123">
        <f>COUNTIFS(veri!G:G,24,veri!I:I,"&gt;=140",veri!I:I,"&lt;141")</f>
        <v>0</v>
      </c>
      <c r="Z7" s="123">
        <f>COUNTIFS(veri!G:G,25,veri!I:I,"&gt;=140",veri!I:I,"&lt;141")</f>
        <v>0</v>
      </c>
      <c r="AA7" s="123">
        <f>COUNTIFS(veri!G:G,26,veri!I:I,"&gt;=140",veri!I:I,"&lt;141")</f>
        <v>0</v>
      </c>
      <c r="AB7" s="123">
        <f>COUNTIFS(veri!G:G,51,veri!I:I,"&gt;=140",veri!I:I,"&lt;141")</f>
        <v>0</v>
      </c>
      <c r="AC7" s="123">
        <f>COUNTIFS(veri!G:G,52,veri!I:I,"&gt;=140",veri!I:I,"&lt;141")</f>
        <v>0</v>
      </c>
      <c r="AD7" s="123">
        <f>COUNTIFS(veri!G:G,53,veri!I:I,"&gt;=140",veri!I:I,"&lt;141")</f>
        <v>0</v>
      </c>
      <c r="AE7" s="123">
        <f>COUNTIFS(veri!G:G,54,veri!I:I,"&gt;=140",veri!I:I,"&lt;141")</f>
        <v>0</v>
      </c>
      <c r="AF7" s="123">
        <f>COUNTIFS(veri!G:G,55,veri!I:I,"&gt;=140",veri!I:I,"&lt;141")</f>
        <v>0</v>
      </c>
      <c r="AG7" s="123">
        <f>COUNTIFS(veri!G:G,56,veri!I:I,"&gt;=140",veri!I:I,"&lt;141")</f>
        <v>0</v>
      </c>
      <c r="AH7" s="123">
        <f>COUNTIFS(veri!G:G,57,veri!I:I,"&gt;=140",veri!I:I,"&lt;141")</f>
        <v>0</v>
      </c>
      <c r="AI7" s="123">
        <f>COUNTIFS(veri!G:G,58,veri!I:I,"&gt;=140",veri!I:I,"&lt;141")</f>
        <v>0</v>
      </c>
      <c r="AJ7" s="123">
        <f>COUNTIFS(veri!G:G,59,veri!I:I,"&gt;=140",veri!I:I,"&lt;141")</f>
        <v>0</v>
      </c>
      <c r="AK7" s="123">
        <f>COUNTIFS(veri!G:G,60,veri!I:I,"&gt;=140",veri!I:I,"&lt;141")</f>
        <v>0</v>
      </c>
      <c r="AL7" s="123">
        <f>COUNTIFS(veri!G:G,61,veri!I:I,"&gt;=140",veri!I:I,"&lt;141")</f>
        <v>0</v>
      </c>
      <c r="AM7" s="123">
        <f>COUNTIFS(veri!G:G,62,veri!I:I,"&gt;=140",veri!I:I,"&lt;141")</f>
        <v>0</v>
      </c>
      <c r="AN7" s="123">
        <f>COUNTIFS(veri!G:G,63,veri!I:I,"&gt;=140",veri!I:I,"&lt;141")</f>
        <v>0</v>
      </c>
      <c r="AO7" s="123">
        <f>COUNTIFS(veri!G:G,64,veri!I:I,"&gt;=140",veri!I:I,"&lt;141")</f>
        <v>0</v>
      </c>
      <c r="AP7" s="123">
        <f>COUNTIFS(veri!G:G,65,veri!I:I,"&gt;=140",veri!I:I,"&lt;141")</f>
        <v>0</v>
      </c>
      <c r="AQ7" s="123">
        <f>COUNTIFS(veri!G:G,66,veri!I:I,"&gt;=140",veri!I:I,"&lt;141")</f>
        <v>0</v>
      </c>
      <c r="AR7" s="123">
        <f>COUNTIFS(veri!G:G,67,veri!I:I,"&gt;=140",veri!I:I,"&lt;141")</f>
        <v>0</v>
      </c>
      <c r="AS7" s="123">
        <f>COUNTIFS(veri!G:G,68,veri!I:I,"&gt;=140",veri!I:I,"&lt;141")</f>
        <v>0</v>
      </c>
      <c r="AT7" s="123">
        <f>COUNTIFS(veri!G:G,69,veri!I:I,"&gt;=140",veri!I:I,"&lt;141")</f>
        <v>0</v>
      </c>
      <c r="AU7" s="123">
        <f>COUNTIFS(veri!G:G,70,veri!I:I,"&gt;=140",veri!I:I,"&lt;141")</f>
        <v>0</v>
      </c>
      <c r="AV7" s="123">
        <f>COUNTIFS(veri!G:G,71,veri!I:I,"&gt;=140",veri!I:I,"&lt;141")</f>
        <v>0</v>
      </c>
      <c r="AW7" s="123">
        <f>COUNTIFS(veri!G:G,72,veri!I:I,"&gt;=140",veri!I:I,"&lt;141")</f>
        <v>0</v>
      </c>
      <c r="AX7" s="123">
        <f>COUNTIFS(veri!G:G,73,veri!I:I,"&gt;=140",veri!I:I,"&lt;141")</f>
        <v>0</v>
      </c>
      <c r="AY7" s="123">
        <f>COUNTIFS(veri!G:G,74,veri!I:I,"&gt;=140",veri!I:I,"&lt;141")</f>
        <v>0</v>
      </c>
      <c r="AZ7" s="123">
        <f>COUNTIFS(veri!G:G,75,veri!I:I,"&gt;=140",veri!I:I,"&lt;141")</f>
        <v>0</v>
      </c>
      <c r="BA7" s="123">
        <f>COUNTIFS(veri!G:G,76,veri!I:I,"&gt;=140",veri!I:I,"&lt;141")</f>
        <v>0</v>
      </c>
      <c r="BB7" s="123">
        <f>COUNTIFS(veri!G:G,77,veri!I:I,"&gt;=140",veri!I:I,"&lt;141")</f>
        <v>0</v>
      </c>
      <c r="BC7" s="123">
        <f>COUNTIFS(veri!G:G,78,veri!I:I,"&gt;=140",veri!I:I,"&lt;141")</f>
        <v>0</v>
      </c>
      <c r="BD7" s="123">
        <f>COUNTIFS(veri!G:G,79,veri!I:I,"&gt;=140",veri!I:I,"&lt;141")</f>
        <v>0</v>
      </c>
      <c r="BE7" s="123">
        <f>COUNTIFS(veri!G:G,80,veri!I:I,"&gt;=140",veri!I:I,"&lt;141")</f>
        <v>0</v>
      </c>
      <c r="BF7" s="123">
        <f>COUNTIFS(veri!G:G,81,veri!I:I,"&gt;=140",veri!I:I,"&lt;141")</f>
        <v>0</v>
      </c>
      <c r="BG7" s="123">
        <f>COUNTIFS(veri!G:G,82,veri!I:I,"&gt;=140",veri!I:I,"&lt;141")</f>
        <v>0</v>
      </c>
      <c r="BH7" s="123">
        <f>COUNTIFS(veri!G:G,83,veri!I:I,"&gt;=140",veri!I:I,"&lt;141")</f>
        <v>0</v>
      </c>
      <c r="BI7" s="123">
        <f>COUNTIFS(veri!G:G,84,veri!I:I,"&gt;=140",veri!I:I,"&lt;141")</f>
        <v>0</v>
      </c>
      <c r="BJ7" s="123">
        <f>COUNTIFS(veri!G:G,85,veri!I:I,"&gt;=140",veri!I:I,"&lt;141")</f>
        <v>0</v>
      </c>
      <c r="BK7" s="123">
        <f>COUNTIFS(veri!G:G,86,veri!I:I,"&gt;=140",veri!I:I,"&lt;141")</f>
        <v>0</v>
      </c>
      <c r="BL7" s="123">
        <f>COUNTIFS(veri!G:G,87,veri!I:I,"&gt;=140",veri!I:I,"&lt;141")</f>
        <v>0</v>
      </c>
      <c r="BM7" s="123">
        <f>COUNTIFS(veri!G:G,88,veri!I:I,"&gt;=140",veri!I:I,"&lt;141")</f>
        <v>0</v>
      </c>
      <c r="BN7" s="123">
        <f>COUNTIFS(veri!G:G,89,veri!I:I,"&gt;=140",veri!I:I,"&lt;141")</f>
        <v>0</v>
      </c>
      <c r="BO7" s="123">
        <f>COUNTIFS(veri!G:G,90,veri!I:I,"&gt;=140",veri!I:I,"&lt;141")</f>
        <v>0</v>
      </c>
      <c r="BP7" s="123">
        <f>COUNTIFS(veri!G:G,91,veri!I:I,"&gt;=140",veri!I:I,"&lt;141")</f>
        <v>0</v>
      </c>
      <c r="BQ7" s="123">
        <f>COUNTIFS(veri!G:G,92,veri!I:I,"&gt;=140",veri!I:I,"&lt;141")</f>
        <v>0</v>
      </c>
      <c r="BR7" s="123">
        <f>COUNTIFS(veri!G:G,93,veri!I:I,"&gt;=140",veri!I:I,"&lt;141")</f>
        <v>0</v>
      </c>
      <c r="BS7" s="123">
        <f>COUNTIFS(veri!G:G,94,veri!I:I,"&gt;=140",veri!I:I,"&lt;141")</f>
        <v>0</v>
      </c>
      <c r="BT7" s="123">
        <f>COUNTIFS(veri!G:G,95,veri!I:I,"&gt;=140",veri!I:I,"&lt;141")</f>
        <v>0</v>
      </c>
      <c r="BU7" s="123">
        <f>COUNTIFS(veri!G:G,96,veri!I:I,"&gt;=140",veri!I:I,"&lt;141")</f>
        <v>0</v>
      </c>
      <c r="BV7" s="123">
        <f>COUNTIFS(veri!G:G,97,veri!I:I,"&gt;=140",veri!I:I,"&lt;141")</f>
        <v>0</v>
      </c>
      <c r="BW7" s="123">
        <f>COUNTIFS(veri!G:G,98,veri!I:I,"&gt;=140",veri!I:I,"&lt;141")</f>
        <v>0</v>
      </c>
      <c r="BX7" s="123">
        <f>COUNTIFS(veri!G:G,99,veri!I:I,"&gt;=140",veri!I:I,"&lt;141")</f>
        <v>0</v>
      </c>
      <c r="BY7" s="123">
        <f>COUNTIFS(veri!G:G,100,veri!I:I,"&gt;=140",veri!I:I,"&lt;141")</f>
        <v>0</v>
      </c>
      <c r="BZ7" s="123">
        <f>COUNTIFS(veri!G:G,101,veri!I:I,"&gt;=140",veri!I:I,"&lt;141")</f>
        <v>0</v>
      </c>
      <c r="CA7" s="123">
        <f>COUNTIFS(veri!G:G,102,veri!I:I,"&gt;=140",veri!I:I,"&lt;141")</f>
        <v>0</v>
      </c>
      <c r="CB7" s="123">
        <f>COUNTIFS(veri!G:G,103,veri!I:I,"&gt;=140",veri!I:I,"&lt;141")</f>
        <v>0</v>
      </c>
      <c r="CC7" s="123">
        <f>COUNTIFS(veri!G:G,104,veri!I:I,"&gt;=140",veri!I:I,"&lt;141")</f>
        <v>0</v>
      </c>
      <c r="CD7" s="123">
        <f>COUNTIFS(veri!G:G,105,veri!I:I,"&gt;=140",veri!I:I,"&lt;141")</f>
        <v>0</v>
      </c>
      <c r="CE7" s="121">
        <f t="shared" si="0"/>
        <v>0</v>
      </c>
      <c r="CF7" s="14"/>
      <c r="CG7" s="14"/>
      <c r="CH7" s="14"/>
      <c r="CI7" s="14"/>
      <c r="CJ7" s="14"/>
      <c r="CK7" s="14"/>
    </row>
    <row r="8" spans="1:89" ht="13.5" customHeight="1" x14ac:dyDescent="0.15">
      <c r="A8" s="120" t="s">
        <v>943</v>
      </c>
      <c r="B8" s="116">
        <f>COUNTIFS(veri!G:G,1,veri!I:I,"&gt;=150",veri!I:I,"&lt;151")</f>
        <v>0</v>
      </c>
      <c r="C8" s="116">
        <f>COUNTIFS(veri!G:G,2,veri!I:I,"&gt;=150",veri!I:I,"&lt;151")</f>
        <v>0</v>
      </c>
      <c r="D8" s="116">
        <f>COUNTIFS(veri!G:G,3,veri!I:I,"&gt;=150",veri!I:I,"&lt;151")</f>
        <v>0</v>
      </c>
      <c r="E8" s="116">
        <f>COUNTIFS(veri!G:G,4,veri!I:I,"&gt;=150",veri!I:I,"&lt;151")</f>
        <v>0</v>
      </c>
      <c r="F8" s="116">
        <f>COUNTIFS(veri!G:G,5,veri!I:I,"&gt;=150",veri!I:I,"&lt;151")</f>
        <v>0</v>
      </c>
      <c r="G8" s="116">
        <f>COUNTIFS(veri!G:G,6,veri!I:I,"&gt;=150",veri!I:I,"&lt;151")</f>
        <v>0</v>
      </c>
      <c r="H8" s="116">
        <f>COUNTIFS(veri!G:G,7,veri!I:I,"&gt;=150",veri!I:I,"&lt;151")</f>
        <v>0</v>
      </c>
      <c r="I8" s="116">
        <f>COUNTIFS(veri!G:G,8,veri!I:I,"&gt;=150",veri!I:I,"&lt;151")</f>
        <v>0</v>
      </c>
      <c r="J8" s="116">
        <f>COUNTIFS(veri!G:G,9,veri!I:I,"&gt;=150",veri!I:I,"&lt;151")</f>
        <v>0</v>
      </c>
      <c r="K8" s="116">
        <f>COUNTIFS(veri!G:G,10,veri!I:I,"&gt;=150",veri!I:I,"&lt;151")</f>
        <v>0</v>
      </c>
      <c r="L8" s="116">
        <f>COUNTIFS(veri!G:G,11,veri!I:I,"&gt;=150",veri!I:I,"&lt;151")</f>
        <v>0</v>
      </c>
      <c r="M8" s="116">
        <f>COUNTIFS(veri!G:G,12,veri!I:I,"&gt;=150",veri!I:I,"&lt;151")</f>
        <v>0</v>
      </c>
      <c r="N8" s="116">
        <f>COUNTIFS(veri!G:G,13,veri!I:I,"&gt;=150",veri!I:I,"&lt;151")</f>
        <v>0</v>
      </c>
      <c r="O8" s="116">
        <f>COUNTIFS(veri!G:G,14,veri!I:I,"&gt;=150",veri!I:I,"&lt;151")</f>
        <v>0</v>
      </c>
      <c r="P8" s="116">
        <f>COUNTIFS(veri!G:G,15,veri!I:I,"&gt;=150",veri!I:I,"&lt;151")</f>
        <v>0</v>
      </c>
      <c r="Q8" s="116">
        <f>COUNTIFS(veri!G:G,16,veri!I:I,"&gt;=150",veri!I:I,"&lt;151")</f>
        <v>0</v>
      </c>
      <c r="R8" s="127">
        <f>COUNTIFS(veri!G:G,17,veri!I:I,"&gt;=150",veri!I:I,"&lt;151")</f>
        <v>0</v>
      </c>
      <c r="S8" s="116">
        <f>COUNTIFS(veri!G:G,18,veri!I:I,"&gt;=150",veri!I:I,"&lt;151")</f>
        <v>0</v>
      </c>
      <c r="T8" s="116">
        <f>COUNTIFS(veri!G:G,19,veri!I:I,"&gt;=150",veri!I:I,"&lt;151")</f>
        <v>0</v>
      </c>
      <c r="U8" s="116">
        <f>COUNTIFS(veri!G:G,20,veri!I:I,"&gt;=150",veri!I:I,"&lt;151")</f>
        <v>0</v>
      </c>
      <c r="V8" s="116">
        <f>COUNTIFS(veri!G:G,21,veri!I:I,"&gt;=150",veri!I:I,"&lt;151")</f>
        <v>0</v>
      </c>
      <c r="W8" s="116">
        <f>COUNTIFS(veri!G:G,22,veri!I:I,"&gt;=150",veri!I:I,"&lt;151")</f>
        <v>0</v>
      </c>
      <c r="X8" s="116">
        <f>COUNTIFS(veri!G:G,23,veri!I:I,"&gt;=150",veri!I:I,"&lt;151")</f>
        <v>0</v>
      </c>
      <c r="Y8" s="116">
        <f>COUNTIFS(veri!G:G,24,veri!I:I,"&gt;=150",veri!I:I,"&lt;151")</f>
        <v>0</v>
      </c>
      <c r="Z8" s="116">
        <f>COUNTIFS(veri!G:G,25,veri!I:I,"&gt;=150",veri!I:I,"&lt;151")</f>
        <v>0</v>
      </c>
      <c r="AA8" s="116">
        <f>COUNTIFS(veri!G:G,26,veri!I:I,"&gt;=150",veri!I:I,"&lt;151")</f>
        <v>0</v>
      </c>
      <c r="AB8" s="116">
        <f>COUNTIFS(veri!G:G,51,veri!I:I,"&gt;=150",veri!I:I,"&lt;151")</f>
        <v>0</v>
      </c>
      <c r="AC8" s="116">
        <f>COUNTIFS(veri!G:G,52,veri!I:I,"&gt;=150",veri!I:I,"&lt;151")</f>
        <v>0</v>
      </c>
      <c r="AD8" s="116">
        <f>COUNTIFS(veri!G:G,53,veri!I:I,"&gt;=150",veri!I:I,"&lt;151")</f>
        <v>0</v>
      </c>
      <c r="AE8" s="116">
        <f>COUNTIFS(veri!G:G,54,veri!I:I,"&gt;=150",veri!I:I,"&lt;151")</f>
        <v>0</v>
      </c>
      <c r="AF8" s="116">
        <f>COUNTIFS(veri!G:G,55,veri!I:I,"&gt;=150",veri!I:I,"&lt;151")</f>
        <v>0</v>
      </c>
      <c r="AG8" s="116">
        <f>COUNTIFS(veri!G:G,56,veri!I:I,"&gt;=150",veri!I:I,"&lt;151")</f>
        <v>0</v>
      </c>
      <c r="AH8" s="116">
        <f>COUNTIFS(veri!G:G,57,veri!I:I,"&gt;=150",veri!I:I,"&lt;151")</f>
        <v>0</v>
      </c>
      <c r="AI8" s="116">
        <f>COUNTIFS(veri!G:G,58,veri!I:I,"&gt;=150",veri!I:I,"&lt;151")</f>
        <v>0</v>
      </c>
      <c r="AJ8" s="116">
        <f>COUNTIFS(veri!G:G,59,veri!I:I,"&gt;=150",veri!I:I,"&lt;151")</f>
        <v>0</v>
      </c>
      <c r="AK8" s="116">
        <f>COUNTIFS(veri!G:G,60,veri!I:I,"&gt;=150",veri!I:I,"&lt;151")</f>
        <v>0</v>
      </c>
      <c r="AL8" s="116">
        <f>COUNTIFS(veri!G:G,61,veri!I:I,"&gt;=150",veri!I:I,"&lt;151")</f>
        <v>0</v>
      </c>
      <c r="AM8" s="116">
        <f>COUNTIFS(veri!G:G,62,veri!I:I,"&gt;=150",veri!I:I,"&lt;151")</f>
        <v>0</v>
      </c>
      <c r="AN8" s="116">
        <f>COUNTIFS(veri!G:G,63,veri!I:I,"&gt;=150",veri!I:I,"&lt;151")</f>
        <v>0</v>
      </c>
      <c r="AO8" s="116">
        <f>COUNTIFS(veri!G:G,64,veri!I:I,"&gt;=150",veri!I:I,"&lt;151")</f>
        <v>0</v>
      </c>
      <c r="AP8" s="116">
        <f>COUNTIFS(veri!G:G,65,veri!I:I,"&gt;=150",veri!I:I,"&lt;151")</f>
        <v>0</v>
      </c>
      <c r="AQ8" s="116">
        <f>COUNTIFS(veri!G:G,66,veri!I:I,"&gt;=150",veri!I:I,"&lt;151")</f>
        <v>0</v>
      </c>
      <c r="AR8" s="116">
        <f>COUNTIFS(veri!G:G,67,veri!I:I,"&gt;=150",veri!I:I,"&lt;151")</f>
        <v>0</v>
      </c>
      <c r="AS8" s="116">
        <f>COUNTIFS(veri!G:G,68,veri!I:I,"&gt;=150",veri!I:I,"&lt;151")</f>
        <v>0</v>
      </c>
      <c r="AT8" s="116">
        <f>COUNTIFS(veri!G:G,69,veri!I:I,"&gt;=150",veri!I:I,"&lt;151")</f>
        <v>0</v>
      </c>
      <c r="AU8" s="116">
        <f>COUNTIFS(veri!G:G,70,veri!I:I,"&gt;=150",veri!I:I,"&lt;151")</f>
        <v>0</v>
      </c>
      <c r="AV8" s="116">
        <f>COUNTIFS(veri!G:G,71,veri!I:I,"&gt;=150",veri!I:I,"&lt;151")</f>
        <v>0</v>
      </c>
      <c r="AW8" s="116">
        <f>COUNTIFS(veri!G:G,72,veri!I:I,"&gt;=150",veri!I:I,"&lt;151")</f>
        <v>0</v>
      </c>
      <c r="AX8" s="116">
        <f>COUNTIFS(veri!G:G,73,veri!I:I,"&gt;=150",veri!I:I,"&lt;151")</f>
        <v>0</v>
      </c>
      <c r="AY8" s="116">
        <f>COUNTIFS(veri!G:G,74,veri!I:I,"&gt;=150",veri!I:I,"&lt;151")</f>
        <v>0</v>
      </c>
      <c r="AZ8" s="116">
        <f>COUNTIFS(veri!G:G,75,veri!I:I,"&gt;=150",veri!I:I,"&lt;151")</f>
        <v>0</v>
      </c>
      <c r="BA8" s="116">
        <f>COUNTIFS(veri!G:G,76,veri!I:I,"&gt;=150",veri!I:I,"&lt;151")</f>
        <v>0</v>
      </c>
      <c r="BB8" s="116">
        <f>COUNTIFS(veri!G:G,77,veri!I:I,"&gt;=150",veri!I:I,"&lt;151")</f>
        <v>0</v>
      </c>
      <c r="BC8" s="116">
        <f>COUNTIFS(veri!G:G,78,veri!I:I,"&gt;=150",veri!I:I,"&lt;151")</f>
        <v>0</v>
      </c>
      <c r="BD8" s="116">
        <f>COUNTIFS(veri!G:G,79,veri!I:I,"&gt;=150",veri!I:I,"&lt;151")</f>
        <v>0</v>
      </c>
      <c r="BE8" s="116">
        <f>COUNTIFS(veri!G:G,80,veri!I:I,"&gt;=150",veri!I:I,"&lt;151")</f>
        <v>0</v>
      </c>
      <c r="BF8" s="116">
        <f>COUNTIFS(veri!G:G,81,veri!I:I,"&gt;=150",veri!I:I,"&lt;151")</f>
        <v>0</v>
      </c>
      <c r="BG8" s="116">
        <f>COUNTIFS(veri!G:G,82,veri!I:I,"&gt;=150",veri!I:I,"&lt;151")</f>
        <v>0</v>
      </c>
      <c r="BH8" s="116">
        <f>COUNTIFS(veri!G:G,83,veri!I:I,"&gt;=150",veri!I:I,"&lt;151")</f>
        <v>0</v>
      </c>
      <c r="BI8" s="116">
        <f>COUNTIFS(veri!G:G,84,veri!I:I,"&gt;=150",veri!I:I,"&lt;151")</f>
        <v>0</v>
      </c>
      <c r="BJ8" s="116">
        <f>COUNTIFS(veri!G:G,85,veri!I:I,"&gt;=150",veri!I:I,"&lt;151")</f>
        <v>0</v>
      </c>
      <c r="BK8" s="116">
        <f>COUNTIFS(veri!G:G,86,veri!I:I,"&gt;=150",veri!I:I,"&lt;151")</f>
        <v>0</v>
      </c>
      <c r="BL8" s="116">
        <f>COUNTIFS(veri!G:G,87,veri!I:I,"&gt;=150",veri!I:I,"&lt;151")</f>
        <v>0</v>
      </c>
      <c r="BM8" s="116">
        <f>COUNTIFS(veri!G:G,88,veri!I:I,"&gt;=150",veri!I:I,"&lt;151")</f>
        <v>0</v>
      </c>
      <c r="BN8" s="116">
        <f>COUNTIFS(veri!G:G,89,veri!I:I,"&gt;=150",veri!I:I,"&lt;151")</f>
        <v>0</v>
      </c>
      <c r="BO8" s="116">
        <f>COUNTIFS(veri!G:G,90,veri!I:I,"&gt;=150",veri!I:I,"&lt;151")</f>
        <v>0</v>
      </c>
      <c r="BP8" s="116">
        <f>COUNTIFS(veri!G:G,91,veri!I:I,"&gt;=150",veri!I:I,"&lt;151")</f>
        <v>0</v>
      </c>
      <c r="BQ8" s="116">
        <f>COUNTIFS(veri!G:G,92,veri!I:I,"&gt;=150",veri!I:I,"&lt;151")</f>
        <v>0</v>
      </c>
      <c r="BR8" s="116">
        <f>COUNTIFS(veri!G:G,93,veri!I:I,"&gt;=150",veri!I:I,"&lt;151")</f>
        <v>0</v>
      </c>
      <c r="BS8" s="116">
        <f>COUNTIFS(veri!G:G,94,veri!I:I,"&gt;=150",veri!I:I,"&lt;151")</f>
        <v>0</v>
      </c>
      <c r="BT8" s="116">
        <f>COUNTIFS(veri!G:G,95,veri!I:I,"&gt;=150",veri!I:I,"&lt;151")</f>
        <v>0</v>
      </c>
      <c r="BU8" s="116">
        <f>COUNTIFS(veri!G:G,96,veri!I:I,"&gt;=150",veri!I:I,"&lt;151")</f>
        <v>0</v>
      </c>
      <c r="BV8" s="116">
        <f>COUNTIFS(veri!G:G,97,veri!I:I,"&gt;=150",veri!I:I,"&lt;151")</f>
        <v>0</v>
      </c>
      <c r="BW8" s="116">
        <f>COUNTIFS(veri!G:G,98,veri!I:I,"&gt;=150",veri!I:I,"&lt;151")</f>
        <v>0</v>
      </c>
      <c r="BX8" s="116">
        <f>COUNTIFS(veri!G:G,99,veri!I:I,"&gt;=150",veri!I:I,"&lt;151")</f>
        <v>0</v>
      </c>
      <c r="BY8" s="116">
        <f>COUNTIFS(veri!G:G,100,veri!I:I,"&gt;=150",veri!I:I,"&lt;151")</f>
        <v>0</v>
      </c>
      <c r="BZ8" s="116">
        <f>COUNTIFS(veri!G:G,101,veri!I:I,"&gt;=150",veri!I:I,"&lt;151")</f>
        <v>0</v>
      </c>
      <c r="CA8" s="116">
        <f>COUNTIFS(veri!G:G,102,veri!I:I,"&gt;=150",veri!I:I,"&lt;151")</f>
        <v>0</v>
      </c>
      <c r="CB8" s="116">
        <f>COUNTIFS(veri!G:G,103,veri!I:I,"&gt;=150",veri!I:I,"&lt;151")</f>
        <v>0</v>
      </c>
      <c r="CC8" s="116">
        <f>COUNTIFS(veri!G:G,104,veri!I:I,"&gt;=150",veri!I:I,"&lt;151")</f>
        <v>0</v>
      </c>
      <c r="CD8" s="116">
        <f>COUNTIFS(veri!G:G,105,veri!I:I,"&gt;=150",veri!I:I,"&lt;151")</f>
        <v>0</v>
      </c>
      <c r="CE8" s="121">
        <f t="shared" si="0"/>
        <v>0</v>
      </c>
      <c r="CF8" s="14"/>
      <c r="CG8" s="14"/>
      <c r="CH8" s="14"/>
      <c r="CI8" s="14"/>
      <c r="CJ8" s="14"/>
      <c r="CK8" s="14"/>
    </row>
    <row r="9" spans="1:89" ht="13.5" customHeight="1" x14ac:dyDescent="0.15">
      <c r="A9" s="122" t="s">
        <v>524</v>
      </c>
      <c r="B9" s="123">
        <f>COUNTIFS(veri!G:G,1,veri!I:I,"&gt;=160",veri!I:I,"&lt;161")</f>
        <v>0</v>
      </c>
      <c r="C9" s="123">
        <f>COUNTIFS(veri!G:G,2,veri!I:I,"&gt;=160",veri!I:I,"&lt;161")</f>
        <v>0</v>
      </c>
      <c r="D9" s="123">
        <f>COUNTIFS(veri!G:G,3,veri!I:I,"&gt;=160",veri!I:I,"&lt;161")</f>
        <v>0</v>
      </c>
      <c r="E9" s="123">
        <f>COUNTIFS(veri!G:G,4,veri!I:I,"&gt;=160",veri!I:I,"&lt;161")</f>
        <v>0</v>
      </c>
      <c r="F9" s="123">
        <f>COUNTIFS(veri!G:G,5,veri!I:I,"&gt;=160",veri!I:I,"&lt;161")</f>
        <v>0</v>
      </c>
      <c r="G9" s="123">
        <f>COUNTIFS(veri!G:G,6,veri!I:I,"&gt;=160",veri!I:I,"&lt;161")</f>
        <v>0</v>
      </c>
      <c r="H9" s="123">
        <f>COUNTIFS(veri!G:G,7,veri!I:I,"&gt;=160",veri!I:I,"&lt;161")</f>
        <v>0</v>
      </c>
      <c r="I9" s="123">
        <f>COUNTIFS(veri!G:G,8,veri!I:I,"&gt;=160",veri!I:I,"&lt;161")</f>
        <v>0</v>
      </c>
      <c r="J9" s="123">
        <f>COUNTIFS(veri!G:G,9,veri!I:I,"&gt;=160",veri!I:I,"&lt;161")</f>
        <v>0</v>
      </c>
      <c r="K9" s="123">
        <f>COUNTIFS(veri!G:G,10,veri!I:I,"&gt;=160",veri!I:I,"&lt;161")</f>
        <v>0</v>
      </c>
      <c r="L9" s="123">
        <f>COUNTIFS(veri!G:G,11,veri!I:I,"&gt;=160",veri!I:I,"&lt;161")</f>
        <v>0</v>
      </c>
      <c r="M9" s="123">
        <f>COUNTIFS(veri!G:G,12,veri!I:I,"&gt;=160",veri!I:I,"&lt;161")</f>
        <v>0</v>
      </c>
      <c r="N9" s="123">
        <f>COUNTIFS(veri!G:G,13,veri!I:I,"&gt;=160",veri!I:I,"&lt;161")</f>
        <v>0</v>
      </c>
      <c r="O9" s="123">
        <f>COUNTIFS(veri!G:G,14,veri!I:I,"&gt;=160",veri!I:I,"&lt;161")</f>
        <v>0</v>
      </c>
      <c r="P9" s="123">
        <f>COUNTIFS(veri!G:G,15,veri!I:I,"&gt;=160",veri!I:I,"&lt;161")</f>
        <v>0</v>
      </c>
      <c r="Q9" s="123">
        <f>COUNTIFS(veri!G:G,16,veri!I:I,"&gt;=160",veri!I:I,"&lt;161")</f>
        <v>0</v>
      </c>
      <c r="R9" s="124">
        <f>COUNTIFS(veri!G:G,17,veri!I:I,"&gt;=160",veri!I:I,"&lt;161")</f>
        <v>0</v>
      </c>
      <c r="S9" s="123">
        <f>COUNTIFS(veri!G:G,18,veri!I:I,"&gt;=160",veri!I:I,"&lt;161")</f>
        <v>0</v>
      </c>
      <c r="T9" s="123">
        <f>COUNTIFS(veri!G:G,19,veri!I:I,"&gt;=160",veri!I:I,"&lt;161")</f>
        <v>0</v>
      </c>
      <c r="U9" s="123">
        <f>COUNTIFS(veri!G:G,20,veri!I:I,"&gt;=160",veri!I:I,"&lt;161")</f>
        <v>0</v>
      </c>
      <c r="V9" s="123">
        <f>COUNTIFS(veri!G:G,21,veri!I:I,"&gt;=160",veri!I:I,"&lt;161")</f>
        <v>0</v>
      </c>
      <c r="W9" s="123">
        <f>COUNTIFS(veri!G:G,22,veri!I:I,"&gt;=160",veri!I:I,"&lt;161")</f>
        <v>0</v>
      </c>
      <c r="X9" s="123">
        <f>COUNTIFS(veri!G:G,23,veri!I:I,"&gt;=160",veri!I:I,"&lt;161")</f>
        <v>0</v>
      </c>
      <c r="Y9" s="123">
        <f>COUNTIFS(veri!G:G,24,veri!I:I,"&gt;=160",veri!I:I,"&lt;161")</f>
        <v>0</v>
      </c>
      <c r="Z9" s="123">
        <f>COUNTIFS(veri!G:G,25,veri!I:I,"&gt;=160",veri!I:I,"&lt;161")</f>
        <v>0</v>
      </c>
      <c r="AA9" s="123">
        <f>COUNTIFS(veri!G:G,26,veri!I:I,"&gt;=160",veri!I:I,"&lt;161")</f>
        <v>0</v>
      </c>
      <c r="AB9" s="123">
        <f>COUNTIFS(veri!G:G,51,veri!I:I,"&gt;=160",veri!I:I,"&lt;161")</f>
        <v>0</v>
      </c>
      <c r="AC9" s="123">
        <f>COUNTIFS(veri!G:G,52,veri!I:I,"&gt;=160",veri!I:I,"&lt;161")</f>
        <v>0</v>
      </c>
      <c r="AD9" s="123">
        <f>COUNTIFS(veri!G:G,53,veri!I:I,"&gt;=160",veri!I:I,"&lt;161")</f>
        <v>0</v>
      </c>
      <c r="AE9" s="123">
        <f>COUNTIFS(veri!G:G,54,veri!I:I,"&gt;=160",veri!I:I,"&lt;161")</f>
        <v>0</v>
      </c>
      <c r="AF9" s="123">
        <f>COUNTIFS(veri!G:G,55,veri!I:I,"&gt;=160",veri!I:I,"&lt;161")</f>
        <v>0</v>
      </c>
      <c r="AG9" s="123">
        <f>COUNTIFS(veri!G:G,56,veri!I:I,"&gt;=160",veri!I:I,"&lt;161")</f>
        <v>0</v>
      </c>
      <c r="AH9" s="123">
        <f>COUNTIFS(veri!G:G,57,veri!I:I,"&gt;=160",veri!I:I,"&lt;161")</f>
        <v>0</v>
      </c>
      <c r="AI9" s="123">
        <f>COUNTIFS(veri!G:G,58,veri!I:I,"&gt;=160",veri!I:I,"&lt;161")</f>
        <v>0</v>
      </c>
      <c r="AJ9" s="123">
        <f>COUNTIFS(veri!G:G,59,veri!I:I,"&gt;=160",veri!I:I,"&lt;161")</f>
        <v>0</v>
      </c>
      <c r="AK9" s="123">
        <f>COUNTIFS(veri!G:G,60,veri!I:I,"&gt;=160",veri!I:I,"&lt;161")</f>
        <v>0</v>
      </c>
      <c r="AL9" s="123">
        <f>COUNTIFS(veri!G:G,61,veri!I:I,"&gt;=160",veri!I:I,"&lt;161")</f>
        <v>0</v>
      </c>
      <c r="AM9" s="123">
        <f>COUNTIFS(veri!G:G,62,veri!I:I,"&gt;=160",veri!I:I,"&lt;161")</f>
        <v>0</v>
      </c>
      <c r="AN9" s="123">
        <f>COUNTIFS(veri!G:G,63,veri!I:I,"&gt;=160",veri!I:I,"&lt;161")</f>
        <v>0</v>
      </c>
      <c r="AO9" s="123">
        <f>COUNTIFS(veri!G:G,64,veri!I:I,"&gt;=160",veri!I:I,"&lt;161")</f>
        <v>0</v>
      </c>
      <c r="AP9" s="123">
        <f>COUNTIFS(veri!G:G,65,veri!I:I,"&gt;=160",veri!I:I,"&lt;161")</f>
        <v>0</v>
      </c>
      <c r="AQ9" s="123">
        <f>COUNTIFS(veri!G:G,66,veri!I:I,"&gt;=160",veri!I:I,"&lt;161")</f>
        <v>0</v>
      </c>
      <c r="AR9" s="123">
        <f>COUNTIFS(veri!G:G,67,veri!I:I,"&gt;=160",veri!I:I,"&lt;161")</f>
        <v>0</v>
      </c>
      <c r="AS9" s="123">
        <f>COUNTIFS(veri!G:G,68,veri!I:I,"&gt;=160",veri!I:I,"&lt;161")</f>
        <v>0</v>
      </c>
      <c r="AT9" s="123">
        <f>COUNTIFS(veri!G:G,69,veri!I:I,"&gt;=160",veri!I:I,"&lt;161")</f>
        <v>0</v>
      </c>
      <c r="AU9" s="123">
        <f>COUNTIFS(veri!G:G,70,veri!I:I,"&gt;=160",veri!I:I,"&lt;161")</f>
        <v>0</v>
      </c>
      <c r="AV9" s="123">
        <f>COUNTIFS(veri!G:G,71,veri!I:I,"&gt;=160",veri!I:I,"&lt;161")</f>
        <v>0</v>
      </c>
      <c r="AW9" s="123">
        <f>COUNTIFS(veri!G:G,72,veri!I:I,"&gt;=160",veri!I:I,"&lt;161")</f>
        <v>0</v>
      </c>
      <c r="AX9" s="123">
        <f>COUNTIFS(veri!G:G,73,veri!I:I,"&gt;=160",veri!I:I,"&lt;161")</f>
        <v>0</v>
      </c>
      <c r="AY9" s="123">
        <f>COUNTIFS(veri!G:G,74,veri!I:I,"&gt;=160",veri!I:I,"&lt;161")</f>
        <v>0</v>
      </c>
      <c r="AZ9" s="123">
        <f>COUNTIFS(veri!G:G,75,veri!I:I,"&gt;=160",veri!I:I,"&lt;161")</f>
        <v>0</v>
      </c>
      <c r="BA9" s="123">
        <f>COUNTIFS(veri!G:G,76,veri!I:I,"&gt;=160",veri!I:I,"&lt;161")</f>
        <v>0</v>
      </c>
      <c r="BB9" s="123">
        <f>COUNTIFS(veri!G:G,77,veri!I:I,"&gt;=160",veri!I:I,"&lt;161")</f>
        <v>0</v>
      </c>
      <c r="BC9" s="123">
        <f>COUNTIFS(veri!G:G,78,veri!I:I,"&gt;=160",veri!I:I,"&lt;161")</f>
        <v>0</v>
      </c>
      <c r="BD9" s="123">
        <f>COUNTIFS(veri!G:G,79,veri!I:I,"&gt;=160",veri!I:I,"&lt;161")</f>
        <v>0</v>
      </c>
      <c r="BE9" s="123">
        <f>COUNTIFS(veri!G:G,80,veri!I:I,"&gt;=160",veri!I:I,"&lt;161")</f>
        <v>0</v>
      </c>
      <c r="BF9" s="123">
        <f>COUNTIFS(veri!G:G,81,veri!I:I,"&gt;=160",veri!I:I,"&lt;161")</f>
        <v>0</v>
      </c>
      <c r="BG9" s="123">
        <f>COUNTIFS(veri!G:G,82,veri!I:I,"&gt;=160",veri!I:I,"&lt;161")</f>
        <v>0</v>
      </c>
      <c r="BH9" s="123">
        <f>COUNTIFS(veri!G:G,83,veri!I:I,"&gt;=160",veri!I:I,"&lt;161")</f>
        <v>0</v>
      </c>
      <c r="BI9" s="123">
        <f>COUNTIFS(veri!G:G,84,veri!I:I,"&gt;=160",veri!I:I,"&lt;161")</f>
        <v>0</v>
      </c>
      <c r="BJ9" s="123">
        <f>COUNTIFS(veri!G:G,85,veri!I:I,"&gt;=160",veri!I:I,"&lt;161")</f>
        <v>0</v>
      </c>
      <c r="BK9" s="123">
        <f>COUNTIFS(veri!G:G,86,veri!I:I,"&gt;=160",veri!I:I,"&lt;161")</f>
        <v>0</v>
      </c>
      <c r="BL9" s="123">
        <f>COUNTIFS(veri!G:G,87,veri!I:I,"&gt;=160",veri!I:I,"&lt;161")</f>
        <v>0</v>
      </c>
      <c r="BM9" s="123">
        <f>COUNTIFS(veri!G:G,88,veri!I:I,"&gt;=160",veri!I:I,"&lt;161")</f>
        <v>0</v>
      </c>
      <c r="BN9" s="123">
        <f>COUNTIFS(veri!G:G,89,veri!I:I,"&gt;=160",veri!I:I,"&lt;161")</f>
        <v>0</v>
      </c>
      <c r="BO9" s="123">
        <f>COUNTIFS(veri!G:G,90,veri!I:I,"&gt;=160",veri!I:I,"&lt;161")</f>
        <v>0</v>
      </c>
      <c r="BP9" s="123">
        <f>COUNTIFS(veri!G:G,91,veri!I:I,"&gt;=160",veri!I:I,"&lt;161")</f>
        <v>0</v>
      </c>
      <c r="BQ9" s="123">
        <f>COUNTIFS(veri!G:G,92,veri!I:I,"&gt;=160",veri!I:I,"&lt;161")</f>
        <v>0</v>
      </c>
      <c r="BR9" s="123">
        <f>COUNTIFS(veri!G:G,93,veri!I:I,"&gt;=160",veri!I:I,"&lt;161")</f>
        <v>0</v>
      </c>
      <c r="BS9" s="123">
        <f>COUNTIFS(veri!G:G,94,veri!I:I,"&gt;=160",veri!I:I,"&lt;161")</f>
        <v>0</v>
      </c>
      <c r="BT9" s="123">
        <f>COUNTIFS(veri!G:G,95,veri!I:I,"&gt;=160",veri!I:I,"&lt;161")</f>
        <v>0</v>
      </c>
      <c r="BU9" s="123">
        <f>COUNTIFS(veri!G:G,96,veri!I:I,"&gt;=160",veri!I:I,"&lt;161")</f>
        <v>0</v>
      </c>
      <c r="BV9" s="123">
        <f>COUNTIFS(veri!G:G,97,veri!I:I,"&gt;=160",veri!I:I,"&lt;161")</f>
        <v>0</v>
      </c>
      <c r="BW9" s="123">
        <f>COUNTIFS(veri!G:G,98,veri!I:I,"&gt;=160",veri!I:I,"&lt;161")</f>
        <v>0</v>
      </c>
      <c r="BX9" s="123">
        <f>COUNTIFS(veri!G:G,99,veri!I:I,"&gt;=160",veri!I:I,"&lt;161")</f>
        <v>0</v>
      </c>
      <c r="BY9" s="123">
        <f>COUNTIFS(veri!G:G,100,veri!I:I,"&gt;=160",veri!I:I,"&lt;161")</f>
        <v>0</v>
      </c>
      <c r="BZ9" s="123">
        <f>COUNTIFS(veri!G:G,101,veri!I:I,"&gt;=160",veri!I:I,"&lt;161")</f>
        <v>0</v>
      </c>
      <c r="CA9" s="123">
        <f>COUNTIFS(veri!G:G,102,veri!I:I,"&gt;=160",veri!I:I,"&lt;161")</f>
        <v>0</v>
      </c>
      <c r="CB9" s="123">
        <f>COUNTIFS(veri!G:G,103,veri!I:I,"&gt;=160",veri!I:I,"&lt;161")</f>
        <v>0</v>
      </c>
      <c r="CC9" s="123">
        <f>COUNTIFS(veri!G:G,104,veri!I:I,"&gt;=160",veri!I:I,"&lt;161")</f>
        <v>0</v>
      </c>
      <c r="CD9" s="123">
        <f>COUNTIFS(veri!G:G,105,veri!I:I,"&gt;=160",veri!I:I,"&lt;161")</f>
        <v>0</v>
      </c>
      <c r="CE9" s="121">
        <f t="shared" si="0"/>
        <v>0</v>
      </c>
      <c r="CF9" s="14"/>
      <c r="CG9" s="14"/>
      <c r="CH9" s="14"/>
      <c r="CI9" s="14"/>
      <c r="CJ9" s="14"/>
      <c r="CK9" s="14"/>
    </row>
    <row r="10" spans="1:89" ht="13.5" customHeight="1" x14ac:dyDescent="0.15">
      <c r="A10" s="120" t="s">
        <v>525</v>
      </c>
      <c r="B10" s="116">
        <f>COUNTIFS(veri!G:G,1,veri!I:I,"&gt;=170",veri!I:I,"&lt;171")</f>
        <v>0</v>
      </c>
      <c r="C10" s="116">
        <f>COUNTIFS(veri!G:G,2,veri!I:I,"&gt;=170",veri!I:I,"&lt;171")</f>
        <v>0</v>
      </c>
      <c r="D10" s="116">
        <f>COUNTIFS(veri!G:G,3,veri!I:I,"&gt;=170",veri!I:I,"&lt;171")</f>
        <v>0</v>
      </c>
      <c r="E10" s="116">
        <f>COUNTIFS(veri!G:G,4,veri!I:I,"&gt;=170",veri!I:I,"&lt;171")</f>
        <v>0</v>
      </c>
      <c r="F10" s="116">
        <f>COUNTIFS(veri!G:G,5,veri!I:I,"&gt;=170",veri!I:I,"&lt;171")</f>
        <v>0</v>
      </c>
      <c r="G10" s="116">
        <f>COUNTIFS(veri!G:G,6,veri!I:I,"&gt;=170",veri!I:I,"&lt;171")</f>
        <v>0</v>
      </c>
      <c r="H10" s="116">
        <f>COUNTIFS(veri!G:G,7,veri!I:I,"&gt;=170",veri!I:I,"&lt;171")</f>
        <v>0</v>
      </c>
      <c r="I10" s="116">
        <f>COUNTIFS(veri!G:G,8,veri!I:I,"&gt;=170",veri!I:I,"&lt;171")</f>
        <v>0</v>
      </c>
      <c r="J10" s="116">
        <f>COUNTIFS(veri!G:G,9,veri!I:I,"&gt;=170",veri!I:I,"&lt;171")</f>
        <v>0</v>
      </c>
      <c r="K10" s="116">
        <f>COUNTIFS(veri!G:G,10,veri!I:I,"&gt;=170",veri!I:I,"&lt;171")</f>
        <v>0</v>
      </c>
      <c r="L10" s="116">
        <f>COUNTIFS(veri!G:G,11,veri!I:I,"&gt;=170",veri!I:I,"&lt;171")</f>
        <v>0</v>
      </c>
      <c r="M10" s="116">
        <f>COUNTIFS(veri!G:G,12,veri!I:I,"&gt;=170",veri!I:I,"&lt;171")</f>
        <v>0</v>
      </c>
      <c r="N10" s="116">
        <f>COUNTIFS(veri!G:G,13,veri!I:I,"&gt;=170",veri!I:I,"&lt;171")</f>
        <v>0</v>
      </c>
      <c r="O10" s="116">
        <f>COUNTIFS(veri!G:G,14,veri!I:I,"&gt;=170",veri!I:I,"&lt;171")</f>
        <v>0</v>
      </c>
      <c r="P10" s="116">
        <f>COUNTIFS(veri!G:G,15,veri!I:I,"&gt;=170",veri!I:I,"&lt;171")</f>
        <v>0</v>
      </c>
      <c r="Q10" s="116">
        <f>COUNTIFS(veri!G:G,16,veri!I:I,"&gt;=170",veri!I:I,"&lt;171")</f>
        <v>0</v>
      </c>
      <c r="R10" s="127">
        <f>COUNTIFS(veri!G:G,17,veri!I:I,"&gt;=170",veri!I:I,"&lt;171")</f>
        <v>0</v>
      </c>
      <c r="S10" s="116">
        <f>COUNTIFS(veri!G:G,18,veri!I:I,"&gt;=170",veri!I:I,"&lt;171")</f>
        <v>0</v>
      </c>
      <c r="T10" s="116">
        <f>COUNTIFS(veri!G:G,19,veri!I:I,"&gt;=170",veri!I:I,"&lt;171")</f>
        <v>0</v>
      </c>
      <c r="U10" s="116">
        <f>COUNTIFS(veri!G:G,20,veri!I:I,"&gt;=170",veri!I:I,"&lt;171")</f>
        <v>0</v>
      </c>
      <c r="V10" s="116">
        <f>COUNTIFS(veri!G:G,21,veri!I:I,"&gt;=170",veri!I:I,"&lt;171")</f>
        <v>0</v>
      </c>
      <c r="W10" s="116">
        <f>COUNTIFS(veri!G:G,22,veri!I:I,"&gt;=170",veri!I:I,"&lt;171")</f>
        <v>0</v>
      </c>
      <c r="X10" s="116">
        <f>COUNTIFS(veri!G:G,23,veri!I:I,"&gt;=170",veri!I:I,"&lt;171")</f>
        <v>0</v>
      </c>
      <c r="Y10" s="116">
        <f>COUNTIFS(veri!G:G,24,veri!I:I,"&gt;=170",veri!I:I,"&lt;171")</f>
        <v>0</v>
      </c>
      <c r="Z10" s="116">
        <f>COUNTIFS(veri!G:G,25,veri!I:I,"&gt;=170",veri!I:I,"&lt;171")</f>
        <v>0</v>
      </c>
      <c r="AA10" s="116">
        <f>COUNTIFS(veri!G:G,26,veri!I:I,"&gt;=170",veri!I:I,"&lt;171")</f>
        <v>0</v>
      </c>
      <c r="AB10" s="116">
        <f>COUNTIFS(veri!G:G,51,veri!I:I,"&gt;=170",veri!I:I,"&lt;171")</f>
        <v>0</v>
      </c>
      <c r="AC10" s="116">
        <f>COUNTIFS(veri!G:G,52,veri!I:I,"&gt;=170",veri!I:I,"&lt;171")</f>
        <v>0</v>
      </c>
      <c r="AD10" s="116">
        <f>COUNTIFS(veri!G:G,53,veri!I:I,"&gt;=170",veri!I:I,"&lt;171")</f>
        <v>0</v>
      </c>
      <c r="AE10" s="116">
        <f>COUNTIFS(veri!G:G,54,veri!I:I,"&gt;=170",veri!I:I,"&lt;171")</f>
        <v>0</v>
      </c>
      <c r="AF10" s="116">
        <f>COUNTIFS(veri!G:G,55,veri!I:I,"&gt;=170",veri!I:I,"&lt;171")</f>
        <v>0</v>
      </c>
      <c r="AG10" s="116">
        <f>COUNTIFS(veri!G:G,56,veri!I:I,"&gt;=170",veri!I:I,"&lt;171")</f>
        <v>0</v>
      </c>
      <c r="AH10" s="116">
        <f>COUNTIFS(veri!G:G,57,veri!I:I,"&gt;=170",veri!I:I,"&lt;171")</f>
        <v>0</v>
      </c>
      <c r="AI10" s="116">
        <f>COUNTIFS(veri!G:G,58,veri!I:I,"&gt;=170",veri!I:I,"&lt;171")</f>
        <v>0</v>
      </c>
      <c r="AJ10" s="116">
        <f>COUNTIFS(veri!G:G,59,veri!I:I,"&gt;=170",veri!I:I,"&lt;171")</f>
        <v>0</v>
      </c>
      <c r="AK10" s="116">
        <f>COUNTIFS(veri!G:G,60,veri!I:I,"&gt;=170",veri!I:I,"&lt;171")</f>
        <v>0</v>
      </c>
      <c r="AL10" s="116">
        <f>COUNTIFS(veri!G:G,61,veri!I:I,"&gt;=170",veri!I:I,"&lt;171")</f>
        <v>0</v>
      </c>
      <c r="AM10" s="116">
        <f>COUNTIFS(veri!G:G,62,veri!I:I,"&gt;=170",veri!I:I,"&lt;171")</f>
        <v>0</v>
      </c>
      <c r="AN10" s="116">
        <f>COUNTIFS(veri!G:G,63,veri!I:I,"&gt;=170",veri!I:I,"&lt;171")</f>
        <v>0</v>
      </c>
      <c r="AO10" s="116">
        <f>COUNTIFS(veri!G:G,64,veri!I:I,"&gt;=170",veri!I:I,"&lt;171")</f>
        <v>0</v>
      </c>
      <c r="AP10" s="116">
        <f>COUNTIFS(veri!G:G,65,veri!I:I,"&gt;=170",veri!I:I,"&lt;171")</f>
        <v>0</v>
      </c>
      <c r="AQ10" s="116">
        <f>COUNTIFS(veri!G:G,66,veri!I:I,"&gt;=170",veri!I:I,"&lt;171")</f>
        <v>0</v>
      </c>
      <c r="AR10" s="116">
        <f>COUNTIFS(veri!G:G,67,veri!I:I,"&gt;=170",veri!I:I,"&lt;171")</f>
        <v>0</v>
      </c>
      <c r="AS10" s="116">
        <f>COUNTIFS(veri!G:G,68,veri!I:I,"&gt;=170",veri!I:I,"&lt;171")</f>
        <v>0</v>
      </c>
      <c r="AT10" s="116">
        <f>COUNTIFS(veri!G:G,69,veri!I:I,"&gt;=170",veri!I:I,"&lt;171")</f>
        <v>0</v>
      </c>
      <c r="AU10" s="116">
        <f>COUNTIFS(veri!G:G,70,veri!I:I,"&gt;=170",veri!I:I,"&lt;171")</f>
        <v>0</v>
      </c>
      <c r="AV10" s="116">
        <f>COUNTIFS(veri!G:G,71,veri!I:I,"&gt;=170",veri!I:I,"&lt;171")</f>
        <v>0</v>
      </c>
      <c r="AW10" s="116">
        <f>COUNTIFS(veri!G:G,72,veri!I:I,"&gt;=170",veri!I:I,"&lt;171")</f>
        <v>0</v>
      </c>
      <c r="AX10" s="116">
        <f>COUNTIFS(veri!G:G,73,veri!I:I,"&gt;=170",veri!I:I,"&lt;171")</f>
        <v>0</v>
      </c>
      <c r="AY10" s="116">
        <f>COUNTIFS(veri!G:G,74,veri!I:I,"&gt;=170",veri!I:I,"&lt;171")</f>
        <v>0</v>
      </c>
      <c r="AZ10" s="116">
        <f>COUNTIFS(veri!G:G,75,veri!I:I,"&gt;=170",veri!I:I,"&lt;171")</f>
        <v>0</v>
      </c>
      <c r="BA10" s="116">
        <f>COUNTIFS(veri!G:G,76,veri!I:I,"&gt;=170",veri!I:I,"&lt;171")</f>
        <v>0</v>
      </c>
      <c r="BB10" s="116">
        <f>COUNTIFS(veri!G:G,77,veri!I:I,"&gt;=170",veri!I:I,"&lt;171")</f>
        <v>0</v>
      </c>
      <c r="BC10" s="116">
        <f>COUNTIFS(veri!G:G,78,veri!I:I,"&gt;=170",veri!I:I,"&lt;171")</f>
        <v>0</v>
      </c>
      <c r="BD10" s="116">
        <f>COUNTIFS(veri!G:G,79,veri!I:I,"&gt;=170",veri!I:I,"&lt;171")</f>
        <v>0</v>
      </c>
      <c r="BE10" s="116">
        <f>COUNTIFS(veri!G:G,80,veri!I:I,"&gt;=170",veri!I:I,"&lt;171")</f>
        <v>0</v>
      </c>
      <c r="BF10" s="116">
        <f>COUNTIFS(veri!G:G,81,veri!I:I,"&gt;=170",veri!I:I,"&lt;171")</f>
        <v>0</v>
      </c>
      <c r="BG10" s="116">
        <f>COUNTIFS(veri!G:G,82,veri!I:I,"&gt;=170",veri!I:I,"&lt;171")</f>
        <v>0</v>
      </c>
      <c r="BH10" s="116">
        <f>COUNTIFS(veri!G:G,83,veri!I:I,"&gt;=170",veri!I:I,"&lt;171")</f>
        <v>0</v>
      </c>
      <c r="BI10" s="116">
        <f>COUNTIFS(veri!G:G,84,veri!I:I,"&gt;=170",veri!I:I,"&lt;171")</f>
        <v>0</v>
      </c>
      <c r="BJ10" s="116">
        <f>COUNTIFS(veri!G:G,85,veri!I:I,"&gt;=170",veri!I:I,"&lt;171")</f>
        <v>0</v>
      </c>
      <c r="BK10" s="116">
        <f>COUNTIFS(veri!G:G,86,veri!I:I,"&gt;=170",veri!I:I,"&lt;171")</f>
        <v>0</v>
      </c>
      <c r="BL10" s="116">
        <f>COUNTIFS(veri!G:G,87,veri!I:I,"&gt;=170",veri!I:I,"&lt;171")</f>
        <v>0</v>
      </c>
      <c r="BM10" s="116">
        <f>COUNTIFS(veri!G:G,88,veri!I:I,"&gt;=170",veri!I:I,"&lt;171")</f>
        <v>0</v>
      </c>
      <c r="BN10" s="116">
        <f>COUNTIFS(veri!G:G,89,veri!I:I,"&gt;=170",veri!I:I,"&lt;171")</f>
        <v>0</v>
      </c>
      <c r="BO10" s="116">
        <f>COUNTIFS(veri!G:G,90,veri!I:I,"&gt;=170",veri!I:I,"&lt;171")</f>
        <v>0</v>
      </c>
      <c r="BP10" s="116">
        <f>COUNTIFS(veri!G:G,91,veri!I:I,"&gt;=170",veri!I:I,"&lt;171")</f>
        <v>0</v>
      </c>
      <c r="BQ10" s="116">
        <f>COUNTIFS(veri!G:G,92,veri!I:I,"&gt;=170",veri!I:I,"&lt;171")</f>
        <v>0</v>
      </c>
      <c r="BR10" s="116">
        <f>COUNTIFS(veri!G:G,93,veri!I:I,"&gt;=170",veri!I:I,"&lt;171")</f>
        <v>0</v>
      </c>
      <c r="BS10" s="116">
        <f>COUNTIFS(veri!G:G,94,veri!I:I,"&gt;=170",veri!I:I,"&lt;171")</f>
        <v>0</v>
      </c>
      <c r="BT10" s="116">
        <f>COUNTIFS(veri!G:G,95,veri!I:I,"&gt;=170",veri!I:I,"&lt;171")</f>
        <v>0</v>
      </c>
      <c r="BU10" s="116">
        <f>COUNTIFS(veri!G:G,96,veri!I:I,"&gt;=170",veri!I:I,"&lt;171")</f>
        <v>0</v>
      </c>
      <c r="BV10" s="116">
        <f>COUNTIFS(veri!G:G,97,veri!I:I,"&gt;=170",veri!I:I,"&lt;171")</f>
        <v>0</v>
      </c>
      <c r="BW10" s="116">
        <f>COUNTIFS(veri!G:G,98,veri!I:I,"&gt;=170",veri!I:I,"&lt;171")</f>
        <v>0</v>
      </c>
      <c r="BX10" s="116">
        <f>COUNTIFS(veri!G:G,99,veri!I:I,"&gt;=170",veri!I:I,"&lt;171")</f>
        <v>0</v>
      </c>
      <c r="BY10" s="116">
        <f>COUNTIFS(veri!G:G,100,veri!I:I,"&gt;=170",veri!I:I,"&lt;171")</f>
        <v>0</v>
      </c>
      <c r="BZ10" s="116">
        <f>COUNTIFS(veri!G:G,101,veri!I:I,"&gt;=170",veri!I:I,"&lt;171")</f>
        <v>0</v>
      </c>
      <c r="CA10" s="116">
        <f>COUNTIFS(veri!G:G,102,veri!I:I,"&gt;=170",veri!I:I,"&lt;171")</f>
        <v>0</v>
      </c>
      <c r="CB10" s="116">
        <f>COUNTIFS(veri!G:G,103,veri!I:I,"&gt;=170",veri!I:I,"&lt;171")</f>
        <v>0</v>
      </c>
      <c r="CC10" s="116">
        <f>COUNTIFS(veri!G:G,104,veri!I:I,"&gt;=170",veri!I:I,"&lt;171")</f>
        <v>0</v>
      </c>
      <c r="CD10" s="116">
        <f>COUNTIFS(veri!G:G,105,veri!I:I,"&gt;=170",veri!I:I,"&lt;171")</f>
        <v>0</v>
      </c>
      <c r="CE10" s="121">
        <f t="shared" si="0"/>
        <v>0</v>
      </c>
      <c r="CF10" s="14"/>
      <c r="CG10" s="14"/>
      <c r="CH10" s="14"/>
      <c r="CI10" s="14"/>
      <c r="CJ10" s="14"/>
      <c r="CK10" s="14"/>
    </row>
    <row r="11" spans="1:89" ht="13.5" customHeight="1" x14ac:dyDescent="0.15">
      <c r="A11" s="122" t="s">
        <v>526</v>
      </c>
      <c r="B11" s="123">
        <f>COUNTIFS(veri!G:G,1,veri!I:I,"&gt;=180",veri!I:I,"&lt;181")</f>
        <v>0</v>
      </c>
      <c r="C11" s="123">
        <f>COUNTIFS(veri!G:G,2,veri!I:I,"&gt;=180",veri!I:I,"&lt;181")</f>
        <v>0</v>
      </c>
      <c r="D11" s="123">
        <f>COUNTIFS(veri!G:G,3,veri!I:I,"&gt;=180",veri!I:I,"&lt;181")</f>
        <v>0</v>
      </c>
      <c r="E11" s="123">
        <f>COUNTIFS(veri!G:G,4,veri!I:I,"&gt;=180",veri!I:I,"&lt;181")</f>
        <v>0</v>
      </c>
      <c r="F11" s="123">
        <f>COUNTIFS(veri!G:G,5,veri!I:I,"&gt;=180",veri!I:I,"&lt;181")</f>
        <v>0</v>
      </c>
      <c r="G11" s="123">
        <f>COUNTIFS(veri!G:G,6,veri!I:I,"&gt;=180",veri!I:I,"&lt;181")</f>
        <v>0</v>
      </c>
      <c r="H11" s="123">
        <f>COUNTIFS(veri!G:G,7,veri!I:I,"&gt;=180",veri!I:I,"&lt;181")</f>
        <v>0</v>
      </c>
      <c r="I11" s="123">
        <f>COUNTIFS(veri!G:G,8,veri!I:I,"&gt;=180",veri!I:I,"&lt;181")</f>
        <v>0</v>
      </c>
      <c r="J11" s="123">
        <f>COUNTIFS(veri!G:G,9,veri!I:I,"&gt;=180",veri!I:I,"&lt;181")</f>
        <v>0</v>
      </c>
      <c r="K11" s="123">
        <f>COUNTIFS(veri!G:G,10,veri!I:I,"&gt;=180",veri!I:I,"&lt;181")</f>
        <v>0</v>
      </c>
      <c r="L11" s="123">
        <f>COUNTIFS(veri!G:G,11,veri!I:I,"&gt;=180",veri!I:I,"&lt;181")</f>
        <v>0</v>
      </c>
      <c r="M11" s="123">
        <f>COUNTIFS(veri!G:G,12,veri!I:I,"&gt;=180",veri!I:I,"&lt;181")</f>
        <v>0</v>
      </c>
      <c r="N11" s="123">
        <f>COUNTIFS(veri!G:G,13,veri!I:I,"&gt;=180",veri!I:I,"&lt;181")</f>
        <v>0</v>
      </c>
      <c r="O11" s="123">
        <f>COUNTIFS(veri!G:G,14,veri!I:I,"&gt;=180",veri!I:I,"&lt;181")</f>
        <v>0</v>
      </c>
      <c r="P11" s="123">
        <f>COUNTIFS(veri!G:G,15,veri!I:I,"&gt;=180",veri!I:I,"&lt;181")</f>
        <v>0</v>
      </c>
      <c r="Q11" s="123">
        <f>COUNTIFS(veri!G:G,16,veri!I:I,"&gt;=180",veri!I:I,"&lt;181")</f>
        <v>0</v>
      </c>
      <c r="R11" s="124">
        <f>COUNTIFS(veri!G:G,17,veri!I:I,"&gt;=180",veri!I:I,"&lt;181")</f>
        <v>0</v>
      </c>
      <c r="S11" s="123">
        <f>COUNTIFS(veri!G:G,18,veri!I:I,"&gt;=180",veri!I:I,"&lt;181")</f>
        <v>0</v>
      </c>
      <c r="T11" s="123">
        <f>COUNTIFS(veri!G:G,19,veri!I:I,"&gt;=180",veri!I:I,"&lt;181")</f>
        <v>0</v>
      </c>
      <c r="U11" s="123">
        <f>COUNTIFS(veri!G:G,20,veri!I:I,"&gt;=180",veri!I:I,"&lt;181")</f>
        <v>0</v>
      </c>
      <c r="V11" s="123">
        <f>COUNTIFS(veri!G:G,21,veri!I:I,"&gt;=180",veri!I:I,"&lt;181")</f>
        <v>0</v>
      </c>
      <c r="W11" s="123">
        <f>COUNTIFS(veri!G:G,22,veri!I:I,"&gt;=180",veri!I:I,"&lt;181")</f>
        <v>0</v>
      </c>
      <c r="X11" s="123">
        <f>COUNTIFS(veri!G:G,23,veri!I:I,"&gt;=180",veri!I:I,"&lt;181")</f>
        <v>0</v>
      </c>
      <c r="Y11" s="123">
        <f>COUNTIFS(veri!G:G,24,veri!I:I,"&gt;=180",veri!I:I,"&lt;181")</f>
        <v>0</v>
      </c>
      <c r="Z11" s="123">
        <f>COUNTIFS(veri!G:G,25,veri!I:I,"&gt;=180",veri!I:I,"&lt;181")</f>
        <v>0</v>
      </c>
      <c r="AA11" s="123">
        <f>COUNTIFS(veri!G:G,26,veri!I:I,"&gt;=180",veri!I:I,"&lt;181")</f>
        <v>0</v>
      </c>
      <c r="AB11" s="123">
        <f>COUNTIFS(veri!G:G,51,veri!I:I,"&gt;=180",veri!I:I,"&lt;181")</f>
        <v>0</v>
      </c>
      <c r="AC11" s="123">
        <f>COUNTIFS(veri!G:G,52,veri!I:I,"&gt;=180",veri!I:I,"&lt;181")</f>
        <v>0</v>
      </c>
      <c r="AD11" s="123">
        <f>COUNTIFS(veri!G:G,53,veri!I:I,"&gt;=180",veri!I:I,"&lt;181")</f>
        <v>0</v>
      </c>
      <c r="AE11" s="123">
        <f>COUNTIFS(veri!G:G,54,veri!I:I,"&gt;=180",veri!I:I,"&lt;181")</f>
        <v>0</v>
      </c>
      <c r="AF11" s="123">
        <f>COUNTIFS(veri!G:G,55,veri!I:I,"&gt;=180",veri!I:I,"&lt;181")</f>
        <v>0</v>
      </c>
      <c r="AG11" s="123">
        <f>COUNTIFS(veri!G:G,56,veri!I:I,"&gt;=180",veri!I:I,"&lt;181")</f>
        <v>0</v>
      </c>
      <c r="AH11" s="123">
        <f>COUNTIFS(veri!G:G,57,veri!I:I,"&gt;=180",veri!I:I,"&lt;181")</f>
        <v>0</v>
      </c>
      <c r="AI11" s="123">
        <f>COUNTIFS(veri!G:G,58,veri!I:I,"&gt;=180",veri!I:I,"&lt;181")</f>
        <v>0</v>
      </c>
      <c r="AJ11" s="123">
        <f>COUNTIFS(veri!G:G,59,veri!I:I,"&gt;=180",veri!I:I,"&lt;181")</f>
        <v>0</v>
      </c>
      <c r="AK11" s="123">
        <f>COUNTIFS(veri!G:G,60,veri!I:I,"&gt;=180",veri!I:I,"&lt;181")</f>
        <v>0</v>
      </c>
      <c r="AL11" s="123">
        <f>COUNTIFS(veri!G:G,61,veri!I:I,"&gt;=180",veri!I:I,"&lt;181")</f>
        <v>0</v>
      </c>
      <c r="AM11" s="123">
        <f>COUNTIFS(veri!G:G,62,veri!I:I,"&gt;=180",veri!I:I,"&lt;181")</f>
        <v>0</v>
      </c>
      <c r="AN11" s="123">
        <f>COUNTIFS(veri!G:G,63,veri!I:I,"&gt;=180",veri!I:I,"&lt;181")</f>
        <v>0</v>
      </c>
      <c r="AO11" s="123">
        <f>COUNTIFS(veri!G:G,64,veri!I:I,"&gt;=180",veri!I:I,"&lt;181")</f>
        <v>0</v>
      </c>
      <c r="AP11" s="123">
        <f>COUNTIFS(veri!G:G,65,veri!I:I,"&gt;=180",veri!I:I,"&lt;181")</f>
        <v>0</v>
      </c>
      <c r="AQ11" s="123">
        <f>COUNTIFS(veri!G:G,66,veri!I:I,"&gt;=180",veri!I:I,"&lt;181")</f>
        <v>0</v>
      </c>
      <c r="AR11" s="123">
        <f>COUNTIFS(veri!G:G,67,veri!I:I,"&gt;=180",veri!I:I,"&lt;181")</f>
        <v>0</v>
      </c>
      <c r="AS11" s="123">
        <f>COUNTIFS(veri!G:G,68,veri!I:I,"&gt;=180",veri!I:I,"&lt;181")</f>
        <v>0</v>
      </c>
      <c r="AT11" s="123">
        <f>COUNTIFS(veri!G:G,69,veri!I:I,"&gt;=180",veri!I:I,"&lt;181")</f>
        <v>0</v>
      </c>
      <c r="AU11" s="123">
        <f>COUNTIFS(veri!G:G,70,veri!I:I,"&gt;=180",veri!I:I,"&lt;181")</f>
        <v>0</v>
      </c>
      <c r="AV11" s="123">
        <f>COUNTIFS(veri!G:G,71,veri!I:I,"&gt;=180",veri!I:I,"&lt;181")</f>
        <v>0</v>
      </c>
      <c r="AW11" s="123">
        <f>COUNTIFS(veri!G:G,72,veri!I:I,"&gt;=180",veri!I:I,"&lt;181")</f>
        <v>0</v>
      </c>
      <c r="AX11" s="123">
        <f>COUNTIFS(veri!G:G,73,veri!I:I,"&gt;=180",veri!I:I,"&lt;181")</f>
        <v>0</v>
      </c>
      <c r="AY11" s="123">
        <f>COUNTIFS(veri!G:G,74,veri!I:I,"&gt;=180",veri!I:I,"&lt;181")</f>
        <v>0</v>
      </c>
      <c r="AZ11" s="123">
        <f>COUNTIFS(veri!G:G,75,veri!I:I,"&gt;=180",veri!I:I,"&lt;181")</f>
        <v>0</v>
      </c>
      <c r="BA11" s="123">
        <f>COUNTIFS(veri!G:G,76,veri!I:I,"&gt;=180",veri!I:I,"&lt;181")</f>
        <v>0</v>
      </c>
      <c r="BB11" s="123">
        <f>COUNTIFS(veri!G:G,77,veri!I:I,"&gt;=180",veri!I:I,"&lt;181")</f>
        <v>0</v>
      </c>
      <c r="BC11" s="123">
        <f>COUNTIFS(veri!G:G,78,veri!I:I,"&gt;=180",veri!I:I,"&lt;181")</f>
        <v>0</v>
      </c>
      <c r="BD11" s="123">
        <f>COUNTIFS(veri!G:G,79,veri!I:I,"&gt;=180",veri!I:I,"&lt;181")</f>
        <v>0</v>
      </c>
      <c r="BE11" s="123">
        <f>COUNTIFS(veri!G:G,80,veri!I:I,"&gt;=180",veri!I:I,"&lt;181")</f>
        <v>0</v>
      </c>
      <c r="BF11" s="123">
        <f>COUNTIFS(veri!G:G,81,veri!I:I,"&gt;=180",veri!I:I,"&lt;181")</f>
        <v>0</v>
      </c>
      <c r="BG11" s="123">
        <f>COUNTIFS(veri!G:G,82,veri!I:I,"&gt;=180",veri!I:I,"&lt;181")</f>
        <v>0</v>
      </c>
      <c r="BH11" s="123">
        <f>COUNTIFS(veri!G:G,83,veri!I:I,"&gt;=180",veri!I:I,"&lt;181")</f>
        <v>0</v>
      </c>
      <c r="BI11" s="123">
        <f>COUNTIFS(veri!G:G,84,veri!I:I,"&gt;=180",veri!I:I,"&lt;181")</f>
        <v>0</v>
      </c>
      <c r="BJ11" s="123">
        <f>COUNTIFS(veri!G:G,85,veri!I:I,"&gt;=180",veri!I:I,"&lt;181")</f>
        <v>0</v>
      </c>
      <c r="BK11" s="123">
        <f>COUNTIFS(veri!G:G,86,veri!I:I,"&gt;=180",veri!I:I,"&lt;181")</f>
        <v>0</v>
      </c>
      <c r="BL11" s="123">
        <f>COUNTIFS(veri!G:G,87,veri!I:I,"&gt;=180",veri!I:I,"&lt;181")</f>
        <v>0</v>
      </c>
      <c r="BM11" s="123">
        <f>COUNTIFS(veri!G:G,88,veri!I:I,"&gt;=180",veri!I:I,"&lt;181")</f>
        <v>0</v>
      </c>
      <c r="BN11" s="123">
        <f>COUNTIFS(veri!G:G,89,veri!I:I,"&gt;=180",veri!I:I,"&lt;181")</f>
        <v>0</v>
      </c>
      <c r="BO11" s="123">
        <f>COUNTIFS(veri!G:G,90,veri!I:I,"&gt;=180",veri!I:I,"&lt;181")</f>
        <v>0</v>
      </c>
      <c r="BP11" s="123">
        <f>COUNTIFS(veri!G:G,91,veri!I:I,"&gt;=180",veri!I:I,"&lt;181")</f>
        <v>0</v>
      </c>
      <c r="BQ11" s="123">
        <f>COUNTIFS(veri!G:G,92,veri!I:I,"&gt;=180",veri!I:I,"&lt;181")</f>
        <v>0</v>
      </c>
      <c r="BR11" s="123">
        <f>COUNTIFS(veri!G:G,93,veri!I:I,"&gt;=180",veri!I:I,"&lt;181")</f>
        <v>0</v>
      </c>
      <c r="BS11" s="123">
        <f>COUNTIFS(veri!G:G,94,veri!I:I,"&gt;=180",veri!I:I,"&lt;181")</f>
        <v>0</v>
      </c>
      <c r="BT11" s="123">
        <f>COUNTIFS(veri!G:G,95,veri!I:I,"&gt;=180",veri!I:I,"&lt;181")</f>
        <v>0</v>
      </c>
      <c r="BU11" s="123">
        <f>COUNTIFS(veri!G:G,96,veri!I:I,"&gt;=180",veri!I:I,"&lt;181")</f>
        <v>0</v>
      </c>
      <c r="BV11" s="123">
        <f>COUNTIFS(veri!G:G,97,veri!I:I,"&gt;=180",veri!I:I,"&lt;181")</f>
        <v>0</v>
      </c>
      <c r="BW11" s="123">
        <f>COUNTIFS(veri!G:G,98,veri!I:I,"&gt;=180",veri!I:I,"&lt;181")</f>
        <v>0</v>
      </c>
      <c r="BX11" s="123">
        <f>COUNTIFS(veri!G:G,99,veri!I:I,"&gt;=180",veri!I:I,"&lt;181")</f>
        <v>0</v>
      </c>
      <c r="BY11" s="123">
        <f>COUNTIFS(veri!G:G,100,veri!I:I,"&gt;=180",veri!I:I,"&lt;181")</f>
        <v>0</v>
      </c>
      <c r="BZ11" s="123">
        <f>COUNTIFS(veri!G:G,101,veri!I:I,"&gt;=180",veri!I:I,"&lt;181")</f>
        <v>0</v>
      </c>
      <c r="CA11" s="123">
        <f>COUNTIFS(veri!G:G,102,veri!I:I,"&gt;=180",veri!I:I,"&lt;181")</f>
        <v>0</v>
      </c>
      <c r="CB11" s="123">
        <f>COUNTIFS(veri!G:G,103,veri!I:I,"&gt;=180",veri!I:I,"&lt;181")</f>
        <v>0</v>
      </c>
      <c r="CC11" s="123">
        <f>COUNTIFS(veri!G:G,104,veri!I:I,"&gt;=180",veri!I:I,"&lt;181")</f>
        <v>0</v>
      </c>
      <c r="CD11" s="123">
        <f>COUNTIFS(veri!G:G,105,veri!I:I,"&gt;=180",veri!I:I,"&lt;181")</f>
        <v>0</v>
      </c>
      <c r="CE11" s="121">
        <f t="shared" si="0"/>
        <v>0</v>
      </c>
      <c r="CF11" s="14"/>
      <c r="CG11" s="14"/>
      <c r="CH11" s="14"/>
      <c r="CI11" s="14"/>
      <c r="CJ11" s="14"/>
      <c r="CK11" s="14"/>
    </row>
    <row r="12" spans="1:89" ht="13.5" customHeight="1" x14ac:dyDescent="0.15">
      <c r="A12" s="120" t="s">
        <v>527</v>
      </c>
      <c r="B12" s="116">
        <f>COUNTIFS(veri!G:G,1,veri!I:I,"&gt;=190",veri!I:I,"&lt;191")</f>
        <v>0</v>
      </c>
      <c r="C12" s="116">
        <f>COUNTIFS(veri!G:G,2,veri!I:I,"&gt;=190",veri!I:I,"&lt;191")</f>
        <v>0</v>
      </c>
      <c r="D12" s="116">
        <f>COUNTIFS(veri!G:G,3,veri!I:I,"&gt;=190",veri!I:I,"&lt;191")</f>
        <v>0</v>
      </c>
      <c r="E12" s="116">
        <f>COUNTIFS(veri!G:G,4,veri!I:I,"&gt;=190",veri!I:I,"&lt;191")</f>
        <v>0</v>
      </c>
      <c r="F12" s="116">
        <f>COUNTIFS(veri!G:G,5,veri!I:I,"&gt;=190",veri!I:I,"&lt;191")</f>
        <v>0</v>
      </c>
      <c r="G12" s="116">
        <f>COUNTIFS(veri!G:G,6,veri!I:I,"&gt;=190",veri!I:I,"&lt;191")</f>
        <v>0</v>
      </c>
      <c r="H12" s="116">
        <f>COUNTIFS(veri!G:G,7,veri!I:I,"&gt;=190",veri!I:I,"&lt;191")</f>
        <v>0</v>
      </c>
      <c r="I12" s="116">
        <f>COUNTIFS(veri!G:G,8,veri!I:I,"&gt;=190",veri!I:I,"&lt;191")</f>
        <v>0</v>
      </c>
      <c r="J12" s="116">
        <f>COUNTIFS(veri!G:G,9,veri!I:I,"&gt;=190",veri!I:I,"&lt;191")</f>
        <v>0</v>
      </c>
      <c r="K12" s="116">
        <f>COUNTIFS(veri!G:G,10,veri!I:I,"&gt;=190",veri!I:I,"&lt;191")</f>
        <v>0</v>
      </c>
      <c r="L12" s="116">
        <f>COUNTIFS(veri!G:G,11,veri!I:I,"&gt;=190",veri!I:I,"&lt;191")</f>
        <v>0</v>
      </c>
      <c r="M12" s="116">
        <f>COUNTIFS(veri!G:G,12,veri!I:I,"&gt;=190",veri!I:I,"&lt;191")</f>
        <v>0</v>
      </c>
      <c r="N12" s="116">
        <f>COUNTIFS(veri!G:G,13,veri!I:I,"&gt;=190",veri!I:I,"&lt;191")</f>
        <v>0</v>
      </c>
      <c r="O12" s="116">
        <f>COUNTIFS(veri!G:G,14,veri!I:I,"&gt;=190",veri!I:I,"&lt;191")</f>
        <v>0</v>
      </c>
      <c r="P12" s="116">
        <f>COUNTIFS(veri!G:G,15,veri!I:I,"&gt;=190",veri!I:I,"&lt;191")</f>
        <v>0</v>
      </c>
      <c r="Q12" s="116">
        <f>COUNTIFS(veri!G:G,16,veri!I:I,"&gt;=190",veri!I:I,"&lt;191")</f>
        <v>0</v>
      </c>
      <c r="R12" s="127">
        <f>COUNTIFS(veri!G:G,17,veri!I:I,"&gt;=190",veri!I:I,"&lt;191")</f>
        <v>0</v>
      </c>
      <c r="S12" s="116">
        <f>COUNTIFS(veri!G:G,18,veri!I:I,"&gt;=190",veri!I:I,"&lt;191")</f>
        <v>0</v>
      </c>
      <c r="T12" s="116">
        <f>COUNTIFS(veri!G:G,19,veri!I:I,"&gt;=190",veri!I:I,"&lt;191")</f>
        <v>0</v>
      </c>
      <c r="U12" s="116">
        <f>COUNTIFS(veri!G:G,20,veri!I:I,"&gt;=190",veri!I:I,"&lt;191")</f>
        <v>0</v>
      </c>
      <c r="V12" s="116">
        <f>COUNTIFS(veri!G:G,21,veri!I:I,"&gt;=190",veri!I:I,"&lt;191")</f>
        <v>0</v>
      </c>
      <c r="W12" s="116">
        <f>COUNTIFS(veri!G:G,22,veri!I:I,"&gt;=190",veri!I:I,"&lt;191")</f>
        <v>0</v>
      </c>
      <c r="X12" s="116">
        <f>COUNTIFS(veri!G:G,23,veri!I:I,"&gt;=190",veri!I:I,"&lt;191")</f>
        <v>0</v>
      </c>
      <c r="Y12" s="116">
        <f>COUNTIFS(veri!G:G,24,veri!I:I,"&gt;=190",veri!I:I,"&lt;191")</f>
        <v>0</v>
      </c>
      <c r="Z12" s="116">
        <f>COUNTIFS(veri!G:G,25,veri!I:I,"&gt;=190",veri!I:I,"&lt;191")</f>
        <v>0</v>
      </c>
      <c r="AA12" s="116">
        <f>COUNTIFS(veri!G:G,26,veri!I:I,"&gt;=190",veri!I:I,"&lt;191")</f>
        <v>0</v>
      </c>
      <c r="AB12" s="116">
        <f>COUNTIFS(veri!G:G,51,veri!I:I,"&gt;=190",veri!I:I,"&lt;191")</f>
        <v>0</v>
      </c>
      <c r="AC12" s="116">
        <f>COUNTIFS(veri!G:G,52,veri!I:I,"&gt;=190",veri!I:I,"&lt;191")</f>
        <v>0</v>
      </c>
      <c r="AD12" s="116">
        <f>COUNTIFS(veri!G:G,53,veri!I:I,"&gt;=190",veri!I:I,"&lt;191")</f>
        <v>0</v>
      </c>
      <c r="AE12" s="116">
        <f>COUNTIFS(veri!G:G,54,veri!I:I,"&gt;=190",veri!I:I,"&lt;191")</f>
        <v>0</v>
      </c>
      <c r="AF12" s="116">
        <f>COUNTIFS(veri!G:G,55,veri!I:I,"&gt;=190",veri!I:I,"&lt;191")</f>
        <v>0</v>
      </c>
      <c r="AG12" s="116">
        <f>COUNTIFS(veri!G:G,56,veri!I:I,"&gt;=190",veri!I:I,"&lt;191")</f>
        <v>0</v>
      </c>
      <c r="AH12" s="116">
        <f>COUNTIFS(veri!G:G,57,veri!I:I,"&gt;=190",veri!I:I,"&lt;191")</f>
        <v>0</v>
      </c>
      <c r="AI12" s="116">
        <f>COUNTIFS(veri!G:G,58,veri!I:I,"&gt;=190",veri!I:I,"&lt;191")</f>
        <v>0</v>
      </c>
      <c r="AJ12" s="116">
        <f>COUNTIFS(veri!G:G,59,veri!I:I,"&gt;=190",veri!I:I,"&lt;191")</f>
        <v>0</v>
      </c>
      <c r="AK12" s="116">
        <f>COUNTIFS(veri!G:G,60,veri!I:I,"&gt;=190",veri!I:I,"&lt;191")</f>
        <v>0</v>
      </c>
      <c r="AL12" s="116">
        <f>COUNTIFS(veri!G:G,61,veri!I:I,"&gt;=190",veri!I:I,"&lt;191")</f>
        <v>0</v>
      </c>
      <c r="AM12" s="116">
        <f>COUNTIFS(veri!G:G,62,veri!I:I,"&gt;=190",veri!I:I,"&lt;191")</f>
        <v>0</v>
      </c>
      <c r="AN12" s="116">
        <f>COUNTIFS(veri!G:G,63,veri!I:I,"&gt;=190",veri!I:I,"&lt;191")</f>
        <v>0</v>
      </c>
      <c r="AO12" s="116">
        <f>COUNTIFS(veri!G:G,64,veri!I:I,"&gt;=190",veri!I:I,"&lt;191")</f>
        <v>0</v>
      </c>
      <c r="AP12" s="116">
        <f>COUNTIFS(veri!G:G,65,veri!I:I,"&gt;=190",veri!I:I,"&lt;191")</f>
        <v>0</v>
      </c>
      <c r="AQ12" s="116">
        <f>COUNTIFS(veri!G:G,66,veri!I:I,"&gt;=190",veri!I:I,"&lt;191")</f>
        <v>0</v>
      </c>
      <c r="AR12" s="116">
        <f>COUNTIFS(veri!G:G,67,veri!I:I,"&gt;=190",veri!I:I,"&lt;191")</f>
        <v>0</v>
      </c>
      <c r="AS12" s="116">
        <f>COUNTIFS(veri!G:G,68,veri!I:I,"&gt;=190",veri!I:I,"&lt;191")</f>
        <v>0</v>
      </c>
      <c r="AT12" s="116">
        <f>COUNTIFS(veri!G:G,69,veri!I:I,"&gt;=190",veri!I:I,"&lt;191")</f>
        <v>0</v>
      </c>
      <c r="AU12" s="116">
        <f>COUNTIFS(veri!G:G,70,veri!I:I,"&gt;=190",veri!I:I,"&lt;191")</f>
        <v>0</v>
      </c>
      <c r="AV12" s="116">
        <f>COUNTIFS(veri!G:G,71,veri!I:I,"&gt;=190",veri!I:I,"&lt;191")</f>
        <v>0</v>
      </c>
      <c r="AW12" s="116">
        <f>COUNTIFS(veri!G:G,72,veri!I:I,"&gt;=190",veri!I:I,"&lt;191")</f>
        <v>0</v>
      </c>
      <c r="AX12" s="116">
        <f>COUNTIFS(veri!G:G,73,veri!I:I,"&gt;=190",veri!I:I,"&lt;191")</f>
        <v>0</v>
      </c>
      <c r="AY12" s="116">
        <f>COUNTIFS(veri!G:G,74,veri!I:I,"&gt;=190",veri!I:I,"&lt;191")</f>
        <v>0</v>
      </c>
      <c r="AZ12" s="116">
        <f>COUNTIFS(veri!G:G,75,veri!I:I,"&gt;=190",veri!I:I,"&lt;191")</f>
        <v>0</v>
      </c>
      <c r="BA12" s="116">
        <f>COUNTIFS(veri!G:G,76,veri!I:I,"&gt;=190",veri!I:I,"&lt;191")</f>
        <v>0</v>
      </c>
      <c r="BB12" s="116">
        <f>COUNTIFS(veri!G:G,77,veri!I:I,"&gt;=190",veri!I:I,"&lt;191")</f>
        <v>0</v>
      </c>
      <c r="BC12" s="116">
        <f>COUNTIFS(veri!G:G,78,veri!I:I,"&gt;=190",veri!I:I,"&lt;191")</f>
        <v>0</v>
      </c>
      <c r="BD12" s="116">
        <f>COUNTIFS(veri!G:G,79,veri!I:I,"&gt;=190",veri!I:I,"&lt;191")</f>
        <v>0</v>
      </c>
      <c r="BE12" s="116">
        <f>COUNTIFS(veri!G:G,80,veri!I:I,"&gt;=190",veri!I:I,"&lt;191")</f>
        <v>0</v>
      </c>
      <c r="BF12" s="116">
        <f>COUNTIFS(veri!G:G,81,veri!I:I,"&gt;=190",veri!I:I,"&lt;191")</f>
        <v>0</v>
      </c>
      <c r="BG12" s="116">
        <f>COUNTIFS(veri!G:G,82,veri!I:I,"&gt;=190",veri!I:I,"&lt;191")</f>
        <v>0</v>
      </c>
      <c r="BH12" s="116">
        <f>COUNTIFS(veri!G:G,83,veri!I:I,"&gt;=190",veri!I:I,"&lt;191")</f>
        <v>0</v>
      </c>
      <c r="BI12" s="116">
        <f>COUNTIFS(veri!G:G,84,veri!I:I,"&gt;=190",veri!I:I,"&lt;191")</f>
        <v>0</v>
      </c>
      <c r="BJ12" s="116">
        <f>COUNTIFS(veri!G:G,85,veri!I:I,"&gt;=190",veri!I:I,"&lt;191")</f>
        <v>0</v>
      </c>
      <c r="BK12" s="116">
        <f>COUNTIFS(veri!G:G,86,veri!I:I,"&gt;=190",veri!I:I,"&lt;191")</f>
        <v>0</v>
      </c>
      <c r="BL12" s="116">
        <f>COUNTIFS(veri!G:G,87,veri!I:I,"&gt;=190",veri!I:I,"&lt;191")</f>
        <v>0</v>
      </c>
      <c r="BM12" s="116">
        <f>COUNTIFS(veri!G:G,88,veri!I:I,"&gt;=190",veri!I:I,"&lt;191")</f>
        <v>0</v>
      </c>
      <c r="BN12" s="116">
        <f>COUNTIFS(veri!G:G,89,veri!I:I,"&gt;=190",veri!I:I,"&lt;191")</f>
        <v>0</v>
      </c>
      <c r="BO12" s="116">
        <f>COUNTIFS(veri!G:G,90,veri!I:I,"&gt;=190",veri!I:I,"&lt;191")</f>
        <v>0</v>
      </c>
      <c r="BP12" s="116">
        <f>COUNTIFS(veri!G:G,91,veri!I:I,"&gt;=190",veri!I:I,"&lt;191")</f>
        <v>0</v>
      </c>
      <c r="BQ12" s="116">
        <f>COUNTIFS(veri!G:G,92,veri!I:I,"&gt;=190",veri!I:I,"&lt;191")</f>
        <v>0</v>
      </c>
      <c r="BR12" s="116">
        <f>COUNTIFS(veri!G:G,93,veri!I:I,"&gt;=190",veri!I:I,"&lt;191")</f>
        <v>0</v>
      </c>
      <c r="BS12" s="116">
        <f>COUNTIFS(veri!G:G,94,veri!I:I,"&gt;=190",veri!I:I,"&lt;191")</f>
        <v>0</v>
      </c>
      <c r="BT12" s="116">
        <f>COUNTIFS(veri!G:G,95,veri!I:I,"&gt;=190",veri!I:I,"&lt;191")</f>
        <v>0</v>
      </c>
      <c r="BU12" s="116">
        <f>COUNTIFS(veri!G:G,96,veri!I:I,"&gt;=190",veri!I:I,"&lt;191")</f>
        <v>0</v>
      </c>
      <c r="BV12" s="116">
        <f>COUNTIFS(veri!G:G,97,veri!I:I,"&gt;=190",veri!I:I,"&lt;191")</f>
        <v>0</v>
      </c>
      <c r="BW12" s="116">
        <f>COUNTIFS(veri!G:G,98,veri!I:I,"&gt;=190",veri!I:I,"&lt;191")</f>
        <v>0</v>
      </c>
      <c r="BX12" s="116">
        <f>COUNTIFS(veri!G:G,99,veri!I:I,"&gt;=190",veri!I:I,"&lt;191")</f>
        <v>0</v>
      </c>
      <c r="BY12" s="116">
        <f>COUNTIFS(veri!G:G,100,veri!I:I,"&gt;=190",veri!I:I,"&lt;191")</f>
        <v>0</v>
      </c>
      <c r="BZ12" s="116">
        <f>COUNTIFS(veri!G:G,101,veri!I:I,"&gt;=190",veri!I:I,"&lt;191")</f>
        <v>0</v>
      </c>
      <c r="CA12" s="116">
        <f>COUNTIFS(veri!G:G,102,veri!I:I,"&gt;=190",veri!I:I,"&lt;191")</f>
        <v>0</v>
      </c>
      <c r="CB12" s="116">
        <f>COUNTIFS(veri!G:G,103,veri!I:I,"&gt;=190",veri!I:I,"&lt;191")</f>
        <v>0</v>
      </c>
      <c r="CC12" s="116">
        <f>COUNTIFS(veri!G:G,104,veri!I:I,"&gt;=190",veri!I:I,"&lt;191")</f>
        <v>0</v>
      </c>
      <c r="CD12" s="116">
        <f>COUNTIFS(veri!G:G,105,veri!I:I,"&gt;=190",veri!I:I,"&lt;191")</f>
        <v>0</v>
      </c>
      <c r="CE12" s="121">
        <f t="shared" si="0"/>
        <v>0</v>
      </c>
      <c r="CF12" s="14"/>
      <c r="CG12" s="14"/>
      <c r="CH12" s="14"/>
      <c r="CI12" s="14"/>
      <c r="CJ12" s="14"/>
      <c r="CK12" s="14"/>
    </row>
    <row r="13" spans="1:89" ht="13.5" customHeight="1" x14ac:dyDescent="0.15">
      <c r="A13" s="125" t="s">
        <v>113</v>
      </c>
      <c r="B13" s="121">
        <f t="shared" ref="B13:AG13" si="1">SUM(B4:B12)</f>
        <v>0</v>
      </c>
      <c r="C13" s="121">
        <f t="shared" si="1"/>
        <v>0</v>
      </c>
      <c r="D13" s="121">
        <f t="shared" si="1"/>
        <v>0</v>
      </c>
      <c r="E13" s="121">
        <f t="shared" si="1"/>
        <v>0</v>
      </c>
      <c r="F13" s="121">
        <f t="shared" si="1"/>
        <v>0</v>
      </c>
      <c r="G13" s="121">
        <f t="shared" si="1"/>
        <v>0</v>
      </c>
      <c r="H13" s="121">
        <f t="shared" si="1"/>
        <v>0</v>
      </c>
      <c r="I13" s="121">
        <f t="shared" si="1"/>
        <v>0</v>
      </c>
      <c r="J13" s="121">
        <f t="shared" si="1"/>
        <v>0</v>
      </c>
      <c r="K13" s="121">
        <f t="shared" si="1"/>
        <v>0</v>
      </c>
      <c r="L13" s="121">
        <f t="shared" si="1"/>
        <v>0</v>
      </c>
      <c r="M13" s="121">
        <f t="shared" si="1"/>
        <v>0</v>
      </c>
      <c r="N13" s="121">
        <f t="shared" si="1"/>
        <v>0</v>
      </c>
      <c r="O13" s="121">
        <f t="shared" si="1"/>
        <v>0</v>
      </c>
      <c r="P13" s="121">
        <f t="shared" si="1"/>
        <v>0</v>
      </c>
      <c r="Q13" s="121">
        <f t="shared" si="1"/>
        <v>0</v>
      </c>
      <c r="R13" s="142">
        <f t="shared" si="1"/>
        <v>0</v>
      </c>
      <c r="S13" s="121">
        <f t="shared" si="1"/>
        <v>0</v>
      </c>
      <c r="T13" s="121">
        <f t="shared" si="1"/>
        <v>0</v>
      </c>
      <c r="U13" s="121">
        <f t="shared" si="1"/>
        <v>0</v>
      </c>
      <c r="V13" s="121">
        <f t="shared" si="1"/>
        <v>0</v>
      </c>
      <c r="W13" s="121">
        <f t="shared" si="1"/>
        <v>0</v>
      </c>
      <c r="X13" s="121">
        <f t="shared" si="1"/>
        <v>0</v>
      </c>
      <c r="Y13" s="121">
        <f t="shared" si="1"/>
        <v>0</v>
      </c>
      <c r="Z13" s="121">
        <f t="shared" si="1"/>
        <v>0</v>
      </c>
      <c r="AA13" s="121">
        <f t="shared" si="1"/>
        <v>0</v>
      </c>
      <c r="AB13" s="121">
        <f t="shared" si="1"/>
        <v>0</v>
      </c>
      <c r="AC13" s="121">
        <f t="shared" si="1"/>
        <v>0</v>
      </c>
      <c r="AD13" s="121">
        <f t="shared" si="1"/>
        <v>0</v>
      </c>
      <c r="AE13" s="121">
        <f t="shared" si="1"/>
        <v>0</v>
      </c>
      <c r="AF13" s="121">
        <f t="shared" si="1"/>
        <v>0</v>
      </c>
      <c r="AG13" s="121">
        <f t="shared" si="1"/>
        <v>0</v>
      </c>
      <c r="AH13" s="121">
        <f t="shared" ref="AH13:BM13" si="2">SUM(AH4:AH12)</f>
        <v>0</v>
      </c>
      <c r="AI13" s="121">
        <f t="shared" si="2"/>
        <v>0</v>
      </c>
      <c r="AJ13" s="121">
        <f t="shared" si="2"/>
        <v>0</v>
      </c>
      <c r="AK13" s="121">
        <f t="shared" si="2"/>
        <v>0</v>
      </c>
      <c r="AL13" s="121">
        <f t="shared" si="2"/>
        <v>0</v>
      </c>
      <c r="AM13" s="121">
        <f t="shared" si="2"/>
        <v>0</v>
      </c>
      <c r="AN13" s="121">
        <f t="shared" si="2"/>
        <v>0</v>
      </c>
      <c r="AO13" s="121">
        <f t="shared" si="2"/>
        <v>0</v>
      </c>
      <c r="AP13" s="121">
        <f t="shared" si="2"/>
        <v>0</v>
      </c>
      <c r="AQ13" s="121">
        <f t="shared" si="2"/>
        <v>0</v>
      </c>
      <c r="AR13" s="121">
        <f t="shared" si="2"/>
        <v>0</v>
      </c>
      <c r="AS13" s="121">
        <f t="shared" si="2"/>
        <v>0</v>
      </c>
      <c r="AT13" s="121">
        <f t="shared" si="2"/>
        <v>0</v>
      </c>
      <c r="AU13" s="121">
        <f t="shared" si="2"/>
        <v>0</v>
      </c>
      <c r="AV13" s="121">
        <f t="shared" si="2"/>
        <v>0</v>
      </c>
      <c r="AW13" s="121">
        <f t="shared" si="2"/>
        <v>0</v>
      </c>
      <c r="AX13" s="121">
        <f t="shared" si="2"/>
        <v>0</v>
      </c>
      <c r="AY13" s="121">
        <f t="shared" si="2"/>
        <v>0</v>
      </c>
      <c r="AZ13" s="121">
        <f t="shared" si="2"/>
        <v>0</v>
      </c>
      <c r="BA13" s="121">
        <f t="shared" si="2"/>
        <v>0</v>
      </c>
      <c r="BB13" s="121">
        <f t="shared" si="2"/>
        <v>0</v>
      </c>
      <c r="BC13" s="121">
        <f t="shared" si="2"/>
        <v>0</v>
      </c>
      <c r="BD13" s="121">
        <f t="shared" si="2"/>
        <v>0</v>
      </c>
      <c r="BE13" s="121">
        <f t="shared" si="2"/>
        <v>0</v>
      </c>
      <c r="BF13" s="121">
        <f t="shared" si="2"/>
        <v>0</v>
      </c>
      <c r="BG13" s="121">
        <f t="shared" si="2"/>
        <v>0</v>
      </c>
      <c r="BH13" s="121">
        <f t="shared" si="2"/>
        <v>0</v>
      </c>
      <c r="BI13" s="121">
        <f t="shared" si="2"/>
        <v>0</v>
      </c>
      <c r="BJ13" s="121">
        <f t="shared" si="2"/>
        <v>0</v>
      </c>
      <c r="BK13" s="121">
        <f t="shared" si="2"/>
        <v>0</v>
      </c>
      <c r="BL13" s="121">
        <f t="shared" si="2"/>
        <v>0</v>
      </c>
      <c r="BM13" s="121">
        <f t="shared" si="2"/>
        <v>0</v>
      </c>
      <c r="BN13" s="121">
        <f t="shared" ref="BN13:CE13" si="3">SUM(BN4:BN12)</f>
        <v>0</v>
      </c>
      <c r="BO13" s="121">
        <f t="shared" si="3"/>
        <v>0</v>
      </c>
      <c r="BP13" s="121">
        <f t="shared" si="3"/>
        <v>0</v>
      </c>
      <c r="BQ13" s="121">
        <f t="shared" si="3"/>
        <v>0</v>
      </c>
      <c r="BR13" s="121">
        <f t="shared" si="3"/>
        <v>0</v>
      </c>
      <c r="BS13" s="121">
        <f t="shared" si="3"/>
        <v>0</v>
      </c>
      <c r="BT13" s="121">
        <f t="shared" si="3"/>
        <v>0</v>
      </c>
      <c r="BU13" s="121">
        <f t="shared" si="3"/>
        <v>0</v>
      </c>
      <c r="BV13" s="121">
        <f t="shared" si="3"/>
        <v>0</v>
      </c>
      <c r="BW13" s="121">
        <f t="shared" si="3"/>
        <v>0</v>
      </c>
      <c r="BX13" s="121">
        <f t="shared" si="3"/>
        <v>0</v>
      </c>
      <c r="BY13" s="121">
        <f t="shared" si="3"/>
        <v>0</v>
      </c>
      <c r="BZ13" s="121">
        <f t="shared" si="3"/>
        <v>0</v>
      </c>
      <c r="CA13" s="121">
        <f t="shared" si="3"/>
        <v>0</v>
      </c>
      <c r="CB13" s="121">
        <f t="shared" si="3"/>
        <v>0</v>
      </c>
      <c r="CC13" s="121">
        <f t="shared" si="3"/>
        <v>0</v>
      </c>
      <c r="CD13" s="121">
        <f t="shared" si="3"/>
        <v>0</v>
      </c>
      <c r="CE13" s="121">
        <f t="shared" si="3"/>
        <v>0</v>
      </c>
      <c r="CF13" s="14"/>
      <c r="CG13" s="14"/>
      <c r="CH13" s="14"/>
      <c r="CI13" s="14"/>
      <c r="CJ13" s="14"/>
      <c r="CK13" s="14"/>
    </row>
    <row r="14" spans="1:89" ht="13.5" customHeight="1" x14ac:dyDescent="0.15">
      <c r="A14" s="14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40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</row>
    <row r="15" spans="1:89" ht="13.5" customHeight="1" x14ac:dyDescent="0.15">
      <c r="A15" s="14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40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</row>
    <row r="16" spans="1:89" ht="13.5" customHeight="1" x14ac:dyDescent="0.15">
      <c r="A16" s="1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3"/>
      <c r="R16" s="140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</row>
    <row r="17" spans="1:89" ht="13.5" customHeight="1" x14ac:dyDescent="0.1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3"/>
      <c r="R17" s="140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</row>
    <row r="18" spans="1:89" ht="13.5" customHeight="1" x14ac:dyDescent="0.15">
      <c r="A18" s="14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40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</row>
    <row r="19" spans="1:89" ht="13.5" customHeight="1" x14ac:dyDescent="0.15">
      <c r="A19" s="14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40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</row>
    <row r="20" spans="1:89" ht="13.5" customHeight="1" x14ac:dyDescent="0.15">
      <c r="A20" s="1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3"/>
      <c r="R20" s="140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</row>
    <row r="21" spans="1:89" ht="13.5" customHeight="1" x14ac:dyDescent="0.1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0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</row>
    <row r="22" spans="1:89" s="144" customFormat="1" ht="13.5" customHeight="1" x14ac:dyDescent="0.15">
      <c r="A22" s="143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</row>
    <row r="23" spans="1:89" ht="13.5" customHeight="1" x14ac:dyDescent="0.1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</row>
    <row r="24" spans="1:89" ht="13.5" customHeight="1" x14ac:dyDescent="0.1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</row>
    <row r="25" spans="1:89" ht="13.5" customHeight="1" x14ac:dyDescent="0.1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</row>
    <row r="26" spans="1:89" ht="13.5" customHeight="1" x14ac:dyDescent="0.1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</row>
    <row r="27" spans="1:89" ht="13.5" customHeight="1" x14ac:dyDescent="0.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</row>
    <row r="28" spans="1:89" ht="13.5" customHeight="1" x14ac:dyDescent="0.1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</row>
    <row r="29" spans="1:89" ht="13.5" customHeight="1" x14ac:dyDescent="0.1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</row>
    <row r="30" spans="1:89" ht="13.5" customHeight="1" x14ac:dyDescent="0.1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</row>
    <row r="31" spans="1:89" ht="13.5" customHeight="1" x14ac:dyDescent="0.1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</row>
    <row r="32" spans="1:89" ht="13.5" customHeight="1" x14ac:dyDescent="0.1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</row>
    <row r="33" spans="1:89" ht="13.5" customHeight="1" x14ac:dyDescent="0.1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</row>
    <row r="34" spans="1:89" ht="13.5" customHeight="1" x14ac:dyDescent="0.1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</row>
    <row r="35" spans="1:89" ht="13.5" customHeight="1" x14ac:dyDescent="0.1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</row>
    <row r="36" spans="1:89" ht="13.5" customHeight="1" x14ac:dyDescent="0.1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</row>
    <row r="37" spans="1:89" ht="13.5" customHeight="1" x14ac:dyDescent="0.1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</row>
    <row r="38" spans="1:89" ht="13.5" customHeight="1" x14ac:dyDescent="0.1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</row>
    <row r="39" spans="1:89" ht="10.5" customHeight="1" x14ac:dyDescent="0.1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</row>
    <row r="40" spans="1:89" ht="10.5" customHeight="1" x14ac:dyDescent="0.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</row>
    <row r="41" spans="1:89" ht="10.5" customHeight="1" x14ac:dyDescent="0.15">
      <c r="A41" s="14"/>
      <c r="B41" s="13"/>
      <c r="C41" s="13"/>
      <c r="D41" s="13"/>
      <c r="E41" s="13"/>
      <c r="F41" s="13"/>
      <c r="G41" s="13"/>
      <c r="H41" s="13"/>
      <c r="I41" s="13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</row>
    <row r="42" spans="1:89" ht="10.5" customHeight="1" x14ac:dyDescent="0.15">
      <c r="A42" s="14"/>
      <c r="B42" s="13"/>
      <c r="C42" s="13"/>
      <c r="D42" s="13"/>
      <c r="E42" s="13"/>
      <c r="F42" s="13"/>
      <c r="G42" s="13"/>
      <c r="H42" s="13"/>
      <c r="I42" s="13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</row>
    <row r="43" spans="1:89" ht="10.5" customHeight="1" x14ac:dyDescent="0.15">
      <c r="A43" s="14"/>
      <c r="B43" s="13"/>
      <c r="C43" s="13"/>
      <c r="D43" s="13"/>
      <c r="E43" s="13"/>
      <c r="F43" s="13"/>
      <c r="G43" s="13"/>
      <c r="H43" s="13"/>
      <c r="I43" s="13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</row>
    <row r="44" spans="1:89" ht="10.5" customHeight="1" x14ac:dyDescent="0.15">
      <c r="A44" s="14"/>
      <c r="B44" s="13"/>
      <c r="C44" s="13"/>
      <c r="D44" s="13"/>
      <c r="E44" s="13"/>
      <c r="F44" s="13"/>
      <c r="G44" s="13"/>
      <c r="H44" s="13"/>
      <c r="I44" s="13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</row>
    <row r="45" spans="1:89" ht="10.5" customHeight="1" x14ac:dyDescent="0.15">
      <c r="A45" s="14"/>
      <c r="B45" s="13"/>
      <c r="C45" s="13"/>
      <c r="D45" s="13"/>
      <c r="E45" s="13"/>
      <c r="F45" s="13"/>
      <c r="G45" s="13"/>
      <c r="H45" s="13"/>
      <c r="I45" s="13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</row>
    <row r="46" spans="1:89" ht="10.5" customHeight="1" x14ac:dyDescent="0.15">
      <c r="A46" s="14"/>
      <c r="B46" s="13"/>
      <c r="C46" s="13"/>
      <c r="D46" s="13"/>
      <c r="E46" s="13"/>
      <c r="F46" s="13"/>
      <c r="G46" s="13"/>
      <c r="H46" s="13"/>
      <c r="I46" s="13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</row>
    <row r="47" spans="1:89" ht="10.5" customHeight="1" x14ac:dyDescent="0.15">
      <c r="A47" s="14"/>
      <c r="B47" s="13"/>
      <c r="C47" s="13"/>
      <c r="D47" s="13"/>
      <c r="E47" s="13"/>
      <c r="F47" s="13"/>
      <c r="G47" s="13"/>
      <c r="H47" s="13"/>
      <c r="I47" s="13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</row>
    <row r="48" spans="1:89" ht="10.5" customHeight="1" x14ac:dyDescent="0.15">
      <c r="A48" s="14"/>
      <c r="B48" s="13"/>
      <c r="C48" s="13"/>
      <c r="D48" s="13"/>
      <c r="E48" s="13"/>
      <c r="F48" s="13"/>
      <c r="G48" s="13"/>
      <c r="H48" s="13"/>
      <c r="I48" s="13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</row>
    <row r="49" spans="1:89" ht="10.5" customHeight="1" x14ac:dyDescent="0.15">
      <c r="A49" s="14"/>
      <c r="B49" s="13"/>
      <c r="C49" s="13"/>
      <c r="D49" s="13"/>
      <c r="E49" s="13"/>
      <c r="F49" s="13"/>
      <c r="G49" s="13"/>
      <c r="H49" s="13"/>
      <c r="I49" s="13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</row>
    <row r="50" spans="1:89" ht="10.5" customHeight="1" x14ac:dyDescent="0.15">
      <c r="A50" s="14"/>
      <c r="B50" s="13"/>
      <c r="C50" s="13"/>
      <c r="D50" s="13"/>
      <c r="E50" s="13"/>
      <c r="F50" s="13"/>
      <c r="G50" s="13"/>
      <c r="H50" s="13"/>
      <c r="I50" s="1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</row>
    <row r="51" spans="1:89" ht="10.5" customHeight="1" x14ac:dyDescent="0.15">
      <c r="A51" s="14"/>
      <c r="B51" s="13"/>
      <c r="C51" s="13"/>
      <c r="D51" s="13"/>
      <c r="E51" s="13"/>
      <c r="F51" s="13"/>
      <c r="G51" s="13"/>
      <c r="H51" s="13"/>
      <c r="I51" s="1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</row>
    <row r="52" spans="1:89" ht="10.5" customHeight="1" x14ac:dyDescent="0.15">
      <c r="A52" s="14"/>
      <c r="B52" s="13"/>
      <c r="C52" s="13"/>
      <c r="D52" s="13"/>
      <c r="E52" s="13"/>
      <c r="F52" s="13"/>
      <c r="G52" s="13"/>
      <c r="H52" s="13"/>
      <c r="I52" s="1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</row>
    <row r="53" spans="1:89" ht="10.5" customHeight="1" x14ac:dyDescent="0.15">
      <c r="A53" s="14"/>
      <c r="B53" s="13"/>
      <c r="C53" s="13"/>
      <c r="D53" s="13"/>
      <c r="E53" s="13"/>
      <c r="F53" s="13"/>
      <c r="G53" s="13"/>
      <c r="H53" s="13"/>
      <c r="I53" s="13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</row>
    <row r="54" spans="1:89" ht="10.5" customHeight="1" x14ac:dyDescent="0.15">
      <c r="A54" s="14"/>
      <c r="B54" s="13"/>
      <c r="C54" s="13"/>
      <c r="D54" s="13"/>
      <c r="E54" s="13"/>
      <c r="F54" s="13"/>
      <c r="G54" s="13"/>
      <c r="H54" s="13"/>
      <c r="I54" s="13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</row>
    <row r="55" spans="1:89" ht="10.5" customHeight="1" x14ac:dyDescent="0.15">
      <c r="A55" s="14"/>
      <c r="B55" s="13"/>
      <c r="C55" s="13"/>
      <c r="D55" s="13"/>
      <c r="E55" s="13"/>
      <c r="F55" s="13"/>
      <c r="G55" s="13"/>
      <c r="H55" s="13"/>
      <c r="I55" s="13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</row>
    <row r="56" spans="1:89" ht="10.5" customHeight="1" x14ac:dyDescent="0.15">
      <c r="A56" s="14"/>
      <c r="B56" s="13"/>
      <c r="C56" s="13"/>
      <c r="D56" s="13"/>
      <c r="E56" s="13"/>
      <c r="F56" s="13"/>
      <c r="G56" s="13"/>
      <c r="H56" s="13"/>
      <c r="I56" s="13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</row>
    <row r="57" spans="1:89" ht="10.5" customHeight="1" x14ac:dyDescent="0.15">
      <c r="A57" s="14"/>
      <c r="B57" s="13"/>
      <c r="C57" s="13"/>
      <c r="D57" s="13"/>
      <c r="E57" s="13"/>
      <c r="F57" s="13"/>
      <c r="G57" s="13"/>
      <c r="H57" s="13"/>
      <c r="I57" s="13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</row>
    <row r="58" spans="1:89" ht="10.5" customHeight="1" x14ac:dyDescent="0.15">
      <c r="A58" s="14"/>
      <c r="B58" s="13"/>
      <c r="C58" s="13"/>
      <c r="D58" s="13"/>
      <c r="E58" s="13"/>
      <c r="F58" s="13"/>
      <c r="G58" s="13"/>
      <c r="H58" s="13"/>
      <c r="I58" s="13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</row>
    <row r="59" spans="1:89" ht="10.5" customHeight="1" x14ac:dyDescent="0.15">
      <c r="A59" s="14"/>
      <c r="B59" s="13"/>
      <c r="C59" s="13"/>
      <c r="D59" s="13"/>
      <c r="E59" s="13"/>
      <c r="F59" s="13"/>
      <c r="G59" s="13"/>
      <c r="H59" s="13"/>
      <c r="I59" s="13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</row>
    <row r="60" spans="1:89" ht="10.5" customHeight="1" x14ac:dyDescent="0.15">
      <c r="A60" s="14"/>
      <c r="B60" s="13"/>
      <c r="C60" s="13"/>
      <c r="D60" s="13"/>
      <c r="E60" s="13"/>
      <c r="F60" s="13"/>
      <c r="G60" s="13"/>
      <c r="H60" s="13"/>
      <c r="I60" s="13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</row>
    <row r="61" spans="1:89" ht="10.5" customHeight="1" x14ac:dyDescent="0.15">
      <c r="A61" s="14"/>
      <c r="B61" s="13"/>
      <c r="C61" s="13"/>
      <c r="D61" s="13"/>
      <c r="E61" s="13"/>
      <c r="F61" s="13"/>
      <c r="G61" s="13"/>
      <c r="H61" s="13"/>
      <c r="I61" s="13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</row>
    <row r="62" spans="1:89" ht="10.5" customHeight="1" x14ac:dyDescent="0.15">
      <c r="A62" s="14"/>
      <c r="B62" s="13"/>
      <c r="C62" s="13"/>
      <c r="D62" s="13"/>
      <c r="E62" s="13"/>
      <c r="F62" s="13"/>
      <c r="G62" s="13"/>
      <c r="H62" s="13"/>
      <c r="I62" s="13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</row>
    <row r="63" spans="1:89" ht="10.5" customHeight="1" x14ac:dyDescent="0.15">
      <c r="A63" s="14"/>
      <c r="B63" s="13"/>
      <c r="C63" s="13"/>
      <c r="D63" s="13"/>
      <c r="E63" s="13"/>
      <c r="F63" s="13"/>
      <c r="G63" s="13"/>
      <c r="H63" s="13"/>
      <c r="I63" s="13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</row>
    <row r="64" spans="1:89" ht="10.5" customHeight="1" x14ac:dyDescent="0.15">
      <c r="A64" s="14"/>
      <c r="B64" s="13"/>
      <c r="C64" s="13"/>
      <c r="D64" s="13"/>
      <c r="E64" s="13"/>
      <c r="F64" s="13"/>
      <c r="G64" s="13"/>
      <c r="H64" s="13"/>
      <c r="I64" s="13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</row>
    <row r="65" spans="1:89" ht="10.5" customHeight="1" x14ac:dyDescent="0.15">
      <c r="A65" s="14"/>
      <c r="B65" s="13"/>
      <c r="C65" s="13"/>
      <c r="D65" s="13"/>
      <c r="E65" s="13"/>
      <c r="F65" s="13"/>
      <c r="G65" s="13"/>
      <c r="H65" s="13"/>
      <c r="I65" s="13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</row>
    <row r="66" spans="1:89" ht="10.5" customHeight="1" x14ac:dyDescent="0.15">
      <c r="A66" s="14"/>
      <c r="B66" s="13"/>
      <c r="C66" s="13"/>
      <c r="D66" s="13"/>
      <c r="E66" s="13"/>
      <c r="F66" s="13"/>
      <c r="G66" s="13"/>
      <c r="H66" s="13"/>
      <c r="I66" s="1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</row>
    <row r="67" spans="1:89" ht="10.5" customHeight="1" x14ac:dyDescent="0.15">
      <c r="A67" s="14"/>
      <c r="B67" s="13"/>
      <c r="C67" s="13"/>
      <c r="D67" s="13"/>
      <c r="E67" s="13"/>
      <c r="F67" s="13"/>
      <c r="G67" s="13"/>
      <c r="H67" s="13"/>
      <c r="I67" s="13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</row>
    <row r="68" spans="1:89" ht="10.5" customHeight="1" x14ac:dyDescent="0.15">
      <c r="A68" s="14"/>
      <c r="B68" s="13"/>
      <c r="C68" s="13"/>
      <c r="D68" s="13"/>
      <c r="E68" s="13"/>
      <c r="F68" s="13"/>
      <c r="G68" s="13"/>
      <c r="H68" s="13"/>
      <c r="I68" s="13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</row>
    <row r="69" spans="1:89" ht="10.5" customHeight="1" x14ac:dyDescent="0.15">
      <c r="A69" s="14"/>
      <c r="B69" s="13"/>
      <c r="C69" s="13"/>
      <c r="D69" s="13"/>
      <c r="E69" s="13"/>
      <c r="F69" s="13"/>
      <c r="G69" s="13"/>
      <c r="H69" s="13"/>
      <c r="I69" s="13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</row>
    <row r="70" spans="1:89" ht="10.5" customHeight="1" x14ac:dyDescent="0.15">
      <c r="A70" s="14"/>
      <c r="B70" s="13"/>
      <c r="C70" s="13"/>
      <c r="D70" s="13"/>
      <c r="E70" s="13"/>
      <c r="F70" s="13"/>
      <c r="G70" s="13"/>
      <c r="H70" s="13"/>
      <c r="I70" s="13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</row>
    <row r="71" spans="1:89" ht="10.5" customHeight="1" x14ac:dyDescent="0.15">
      <c r="A71" s="14"/>
      <c r="B71" s="13"/>
      <c r="C71" s="13"/>
      <c r="D71" s="13"/>
      <c r="E71" s="13"/>
      <c r="F71" s="13"/>
      <c r="G71" s="13"/>
      <c r="H71" s="13"/>
      <c r="I71" s="13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</row>
    <row r="72" spans="1:89" ht="10.5" customHeight="1" x14ac:dyDescent="0.15">
      <c r="A72" s="14"/>
      <c r="B72" s="13"/>
      <c r="C72" s="13"/>
      <c r="D72" s="13"/>
      <c r="E72" s="13"/>
      <c r="F72" s="13"/>
      <c r="G72" s="13"/>
      <c r="H72" s="13"/>
      <c r="I72" s="13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</row>
    <row r="73" spans="1:89" ht="12.75" customHeight="1" x14ac:dyDescent="0.15">
      <c r="A73" s="14"/>
      <c r="B73" s="13"/>
      <c r="C73" s="13"/>
      <c r="D73" s="13"/>
      <c r="E73" s="13"/>
      <c r="F73" s="13"/>
      <c r="G73" s="13"/>
      <c r="H73" s="13"/>
      <c r="I73" s="13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</row>
    <row r="74" spans="1:89" ht="12.75" customHeight="1" x14ac:dyDescent="0.15">
      <c r="A74" s="14"/>
      <c r="B74" s="13"/>
      <c r="C74" s="13"/>
      <c r="D74" s="13"/>
      <c r="E74" s="13"/>
      <c r="F74" s="13"/>
      <c r="G74" s="13"/>
      <c r="H74" s="13"/>
      <c r="I74" s="13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</row>
    <row r="75" spans="1:89" ht="12.75" customHeight="1" x14ac:dyDescent="0.15">
      <c r="A75" s="14"/>
      <c r="B75" s="13"/>
      <c r="C75" s="13"/>
      <c r="D75" s="13"/>
      <c r="E75" s="13"/>
      <c r="F75" s="13"/>
      <c r="G75" s="13"/>
      <c r="H75" s="13"/>
      <c r="I75" s="13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</row>
    <row r="76" spans="1:89" ht="12.75" customHeight="1" x14ac:dyDescent="0.15">
      <c r="A76" s="14"/>
      <c r="B76" s="13"/>
      <c r="C76" s="13"/>
      <c r="D76" s="13"/>
      <c r="E76" s="13"/>
      <c r="F76" s="13"/>
      <c r="G76" s="13"/>
      <c r="H76" s="13"/>
      <c r="I76" s="13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</row>
    <row r="77" spans="1:89" ht="12.75" customHeight="1" x14ac:dyDescent="0.15">
      <c r="A77" s="14"/>
      <c r="B77" s="13"/>
      <c r="C77" s="13"/>
      <c r="D77" s="13"/>
      <c r="E77" s="13"/>
      <c r="F77" s="13"/>
      <c r="G77" s="13"/>
      <c r="H77" s="13"/>
      <c r="I77" s="13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</row>
    <row r="78" spans="1:89" ht="12.75" customHeight="1" x14ac:dyDescent="0.15">
      <c r="A78" s="14"/>
      <c r="B78" s="13"/>
      <c r="C78" s="13"/>
      <c r="D78" s="13"/>
      <c r="E78" s="13"/>
      <c r="F78" s="13"/>
      <c r="G78" s="13"/>
      <c r="H78" s="13"/>
      <c r="I78" s="13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</row>
    <row r="79" spans="1:89" ht="12.75" customHeight="1" x14ac:dyDescent="0.15">
      <c r="A79" s="14"/>
      <c r="B79" s="13"/>
      <c r="C79" s="13"/>
      <c r="D79" s="13"/>
      <c r="E79" s="13"/>
      <c r="F79" s="13"/>
      <c r="G79" s="13"/>
      <c r="H79" s="13"/>
      <c r="I79" s="13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</row>
    <row r="80" spans="1:89" ht="12.75" customHeight="1" x14ac:dyDescent="0.15">
      <c r="A80" s="14"/>
      <c r="B80" s="13"/>
      <c r="C80" s="13"/>
      <c r="D80" s="13"/>
      <c r="E80" s="13"/>
      <c r="F80" s="13"/>
      <c r="G80" s="13"/>
      <c r="H80" s="13"/>
      <c r="I80" s="13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</row>
    <row r="81" spans="1:89" ht="12.75" customHeight="1" x14ac:dyDescent="0.15">
      <c r="A81" s="14"/>
      <c r="B81" s="13"/>
      <c r="C81" s="13"/>
      <c r="D81" s="13"/>
      <c r="E81" s="13"/>
      <c r="F81" s="13"/>
      <c r="G81" s="13"/>
      <c r="H81" s="13"/>
      <c r="I81" s="13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</row>
    <row r="82" spans="1:89" ht="12.75" customHeight="1" x14ac:dyDescent="0.15">
      <c r="A82" s="14"/>
      <c r="B82" s="13"/>
      <c r="C82" s="13"/>
      <c r="D82" s="13"/>
      <c r="E82" s="13"/>
      <c r="F82" s="13"/>
      <c r="G82" s="13"/>
      <c r="H82" s="13"/>
      <c r="I82" s="13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</row>
    <row r="83" spans="1:89" ht="12.75" customHeight="1" x14ac:dyDescent="0.15">
      <c r="A83" s="14"/>
      <c r="B83" s="13"/>
      <c r="C83" s="13"/>
      <c r="D83" s="13"/>
      <c r="E83" s="13"/>
      <c r="F83" s="13"/>
      <c r="G83" s="13"/>
      <c r="H83" s="13"/>
      <c r="I83" s="13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</row>
    <row r="84" spans="1:89" ht="12.75" customHeight="1" x14ac:dyDescent="0.15">
      <c r="A84" s="14"/>
      <c r="B84" s="13"/>
      <c r="C84" s="13"/>
      <c r="D84" s="13"/>
      <c r="E84" s="13"/>
      <c r="F84" s="13"/>
      <c r="G84" s="13"/>
      <c r="H84" s="13"/>
      <c r="I84" s="13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</row>
    <row r="85" spans="1:89" ht="12.75" customHeight="1" x14ac:dyDescent="0.15">
      <c r="A85" s="14"/>
      <c r="B85" s="13"/>
      <c r="C85" s="13"/>
      <c r="D85" s="13"/>
      <c r="E85" s="13"/>
      <c r="F85" s="13"/>
      <c r="G85" s="13"/>
      <c r="H85" s="13"/>
      <c r="I85" s="13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</row>
    <row r="86" spans="1:89" ht="12.75" customHeight="1" x14ac:dyDescent="0.15">
      <c r="A86" s="14"/>
      <c r="B86" s="13"/>
      <c r="C86" s="13"/>
      <c r="D86" s="13"/>
      <c r="E86" s="13"/>
      <c r="F86" s="13"/>
      <c r="G86" s="13"/>
      <c r="H86" s="13"/>
      <c r="I86" s="13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</row>
    <row r="87" spans="1:89" ht="12.75" customHeight="1" x14ac:dyDescent="0.15">
      <c r="A87" s="14"/>
      <c r="B87" s="13"/>
      <c r="C87" s="13"/>
      <c r="D87" s="13"/>
      <c r="E87" s="13"/>
      <c r="F87" s="13"/>
      <c r="G87" s="13"/>
      <c r="H87" s="13"/>
      <c r="I87" s="1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</row>
    <row r="88" spans="1:89" ht="12.75" customHeight="1" x14ac:dyDescent="0.15">
      <c r="A88" s="14"/>
      <c r="B88" s="13"/>
      <c r="C88" s="13"/>
      <c r="D88" s="13"/>
      <c r="E88" s="13"/>
      <c r="F88" s="13"/>
      <c r="G88" s="13"/>
      <c r="H88" s="13"/>
      <c r="I88" s="13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</row>
    <row r="89" spans="1:89" ht="12.75" customHeight="1" x14ac:dyDescent="0.15">
      <c r="A89" s="14"/>
      <c r="B89" s="13"/>
      <c r="C89" s="13"/>
      <c r="D89" s="13"/>
      <c r="E89" s="13"/>
      <c r="F89" s="13"/>
      <c r="G89" s="13"/>
      <c r="H89" s="13"/>
      <c r="I89" s="13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</row>
    <row r="90" spans="1:89" ht="12.75" customHeight="1" x14ac:dyDescent="0.15">
      <c r="A90" s="14"/>
      <c r="B90" s="13"/>
      <c r="C90" s="13"/>
      <c r="D90" s="13"/>
      <c r="E90" s="13"/>
      <c r="F90" s="13"/>
      <c r="G90" s="13"/>
      <c r="H90" s="13"/>
      <c r="I90" s="13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</row>
    <row r="91" spans="1:89" ht="12.75" customHeight="1" x14ac:dyDescent="0.15">
      <c r="A91" s="14"/>
      <c r="B91" s="13"/>
      <c r="C91" s="13"/>
      <c r="D91" s="13"/>
      <c r="E91" s="13"/>
      <c r="F91" s="13"/>
      <c r="G91" s="13"/>
      <c r="H91" s="13"/>
      <c r="I91" s="13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</row>
    <row r="92" spans="1:89" ht="12.75" customHeight="1" x14ac:dyDescent="0.1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</row>
    <row r="93" spans="1:89" ht="12.75" customHeight="1" x14ac:dyDescent="0.1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</row>
    <row r="94" spans="1:89" ht="12.75" customHeight="1" x14ac:dyDescent="0.1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</row>
    <row r="95" spans="1:89" ht="12.75" customHeight="1" x14ac:dyDescent="0.1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</row>
    <row r="96" spans="1:89" ht="12.75" customHeight="1" x14ac:dyDescent="0.1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</row>
    <row r="97" spans="1:89" ht="12.75" customHeight="1" x14ac:dyDescent="0.1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</row>
    <row r="98" spans="1:89" ht="12.75" customHeight="1" x14ac:dyDescent="0.1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</row>
    <row r="99" spans="1:89" ht="12.75" customHeight="1" x14ac:dyDescent="0.1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</row>
  </sheetData>
  <printOptions horizontalCentered="1"/>
  <pageMargins left="0.72986111111111096" right="0.65972222222222199" top="1.8895833333333301" bottom="0.72013888888888899" header="1.3298611111111101" footer="0.511811023622047"/>
  <pageSetup paperSize="9" scale="84" orientation="landscape" horizontalDpi="300" verticalDpi="300"/>
  <headerFooter>
    <oddHeader>&amp;C- GLİ, 2022 -_x005F_x000a_"GÖÇÜK, TAŞ VEYA KÖMÜR DÜŞMESİ" TÜRÜ KAZALARIN SANATLARA GÖRE DAĞILIMI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K9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T113" sqref="T113"/>
    </sheetView>
  </sheetViews>
  <sheetFormatPr baseColWidth="10" defaultColWidth="9" defaultRowHeight="13" x14ac:dyDescent="0.15"/>
  <cols>
    <col min="1" max="1" width="30" customWidth="1"/>
    <col min="2" max="2" width="9" style="3"/>
    <col min="11" max="11" width="9" style="110"/>
    <col min="35" max="35" width="9" style="30"/>
  </cols>
  <sheetData>
    <row r="1" spans="1:89" ht="10.5" customHeight="1" x14ac:dyDescent="0.15">
      <c r="A1" s="139" t="s">
        <v>944</v>
      </c>
      <c r="B1" s="13"/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</row>
    <row r="2" spans="1:89" ht="13.5" customHeight="1" x14ac:dyDescent="0.15">
      <c r="A2" s="14"/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3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0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</row>
    <row r="3" spans="1:89" ht="103.5" customHeight="1" x14ac:dyDescent="0.15">
      <c r="A3" s="141" t="s">
        <v>901</v>
      </c>
      <c r="B3" s="118" t="s">
        <v>902</v>
      </c>
      <c r="C3" s="118" t="s">
        <v>903</v>
      </c>
      <c r="D3" s="118" t="s">
        <v>904</v>
      </c>
      <c r="E3" s="118" t="s">
        <v>905</v>
      </c>
      <c r="F3" s="118" t="s">
        <v>906</v>
      </c>
      <c r="G3" s="118" t="s">
        <v>907</v>
      </c>
      <c r="H3" s="118" t="s">
        <v>781</v>
      </c>
      <c r="I3" s="118" t="s">
        <v>782</v>
      </c>
      <c r="J3" s="118" t="s">
        <v>783</v>
      </c>
      <c r="K3" s="118" t="s">
        <v>784</v>
      </c>
      <c r="L3" s="118" t="s">
        <v>785</v>
      </c>
      <c r="M3" s="118" t="s">
        <v>786</v>
      </c>
      <c r="N3" s="118" t="s">
        <v>787</v>
      </c>
      <c r="O3" s="118" t="s">
        <v>908</v>
      </c>
      <c r="P3" s="118" t="s">
        <v>789</v>
      </c>
      <c r="Q3" s="118" t="s">
        <v>909</v>
      </c>
      <c r="R3" s="118" t="s">
        <v>910</v>
      </c>
      <c r="S3" s="118" t="s">
        <v>792</v>
      </c>
      <c r="T3" s="118" t="s">
        <v>911</v>
      </c>
      <c r="U3" s="118" t="s">
        <v>794</v>
      </c>
      <c r="V3" s="118" t="s">
        <v>912</v>
      </c>
      <c r="W3" s="118" t="s">
        <v>913</v>
      </c>
      <c r="X3" s="118" t="s">
        <v>797</v>
      </c>
      <c r="Y3" s="118" t="s">
        <v>914</v>
      </c>
      <c r="Z3" s="118" t="s">
        <v>915</v>
      </c>
      <c r="AA3" s="118" t="s">
        <v>800</v>
      </c>
      <c r="AB3" s="119" t="s">
        <v>801</v>
      </c>
      <c r="AC3" s="119" t="s">
        <v>916</v>
      </c>
      <c r="AD3" s="119" t="s">
        <v>917</v>
      </c>
      <c r="AE3" s="119" t="s">
        <v>804</v>
      </c>
      <c r="AF3" s="119" t="s">
        <v>805</v>
      </c>
      <c r="AG3" s="119" t="s">
        <v>806</v>
      </c>
      <c r="AH3" s="119" t="s">
        <v>807</v>
      </c>
      <c r="AI3" s="128" t="s">
        <v>808</v>
      </c>
      <c r="AJ3" s="119" t="s">
        <v>809</v>
      </c>
      <c r="AK3" s="119" t="s">
        <v>810</v>
      </c>
      <c r="AL3" s="119" t="s">
        <v>918</v>
      </c>
      <c r="AM3" s="119" t="s">
        <v>919</v>
      </c>
      <c r="AN3" s="119" t="s">
        <v>920</v>
      </c>
      <c r="AO3" s="119" t="s">
        <v>814</v>
      </c>
      <c r="AP3" s="119" t="s">
        <v>815</v>
      </c>
      <c r="AQ3" s="119" t="s">
        <v>921</v>
      </c>
      <c r="AR3" s="119" t="s">
        <v>817</v>
      </c>
      <c r="AS3" s="119" t="s">
        <v>818</v>
      </c>
      <c r="AT3" s="119" t="s">
        <v>819</v>
      </c>
      <c r="AU3" s="119" t="s">
        <v>820</v>
      </c>
      <c r="AV3" s="119" t="s">
        <v>922</v>
      </c>
      <c r="AW3" s="119" t="s">
        <v>822</v>
      </c>
      <c r="AX3" s="119" t="s">
        <v>823</v>
      </c>
      <c r="AY3" s="119" t="s">
        <v>824</v>
      </c>
      <c r="AZ3" s="119" t="s">
        <v>825</v>
      </c>
      <c r="BA3" s="119" t="s">
        <v>826</v>
      </c>
      <c r="BB3" s="119" t="s">
        <v>923</v>
      </c>
      <c r="BC3" s="119" t="s">
        <v>828</v>
      </c>
      <c r="BD3" s="119" t="s">
        <v>924</v>
      </c>
      <c r="BE3" s="119" t="s">
        <v>925</v>
      </c>
      <c r="BF3" s="119" t="s">
        <v>926</v>
      </c>
      <c r="BG3" s="119" t="s">
        <v>832</v>
      </c>
      <c r="BH3" s="119" t="s">
        <v>833</v>
      </c>
      <c r="BI3" s="119" t="s">
        <v>834</v>
      </c>
      <c r="BJ3" s="119" t="s">
        <v>835</v>
      </c>
      <c r="BK3" s="119" t="s">
        <v>836</v>
      </c>
      <c r="BL3" s="119" t="s">
        <v>837</v>
      </c>
      <c r="BM3" s="119" t="s">
        <v>838</v>
      </c>
      <c r="BN3" s="119" t="s">
        <v>927</v>
      </c>
      <c r="BO3" s="119" t="s">
        <v>840</v>
      </c>
      <c r="BP3" s="119" t="s">
        <v>928</v>
      </c>
      <c r="BQ3" s="119" t="s">
        <v>842</v>
      </c>
      <c r="BR3" s="119" t="s">
        <v>929</v>
      </c>
      <c r="BS3" s="119" t="s">
        <v>930</v>
      </c>
      <c r="BT3" s="119" t="s">
        <v>931</v>
      </c>
      <c r="BU3" s="119" t="s">
        <v>846</v>
      </c>
      <c r="BV3" s="119" t="s">
        <v>932</v>
      </c>
      <c r="BW3" s="119" t="s">
        <v>848</v>
      </c>
      <c r="BX3" s="119" t="s">
        <v>933</v>
      </c>
      <c r="BY3" s="119" t="s">
        <v>850</v>
      </c>
      <c r="BZ3" s="119" t="s">
        <v>851</v>
      </c>
      <c r="CA3" s="119" t="s">
        <v>934</v>
      </c>
      <c r="CB3" s="119" t="s">
        <v>935</v>
      </c>
      <c r="CC3" s="119" t="s">
        <v>854</v>
      </c>
      <c r="CD3" s="119" t="s">
        <v>855</v>
      </c>
      <c r="CE3" s="117" t="s">
        <v>113</v>
      </c>
      <c r="CF3" s="14"/>
      <c r="CG3" s="14"/>
      <c r="CH3" s="14"/>
      <c r="CI3" s="14"/>
      <c r="CJ3" s="14"/>
      <c r="CK3" s="14"/>
    </row>
    <row r="4" spans="1:89" ht="13.5" customHeight="1" x14ac:dyDescent="0.15">
      <c r="A4" s="120" t="s">
        <v>945</v>
      </c>
      <c r="B4" s="116">
        <f>COUNTIFS(veri!G:G,1,veri!I:I,"&gt;=310",veri!I:I,"&lt;311")</f>
        <v>0</v>
      </c>
      <c r="C4" s="116">
        <f>COUNTIFS(veri!G:G,2,veri!I:I,"&gt;=310",veri!I:I,"&lt;311")</f>
        <v>0</v>
      </c>
      <c r="D4" s="116">
        <f>COUNTIFS(veri!G:G,3,veri!I:I,"&gt;=310",veri!I:I,"&lt;311")</f>
        <v>0</v>
      </c>
      <c r="E4" s="116">
        <f>COUNTIFS(veri!G:G,4,veri!I:I,"&gt;=310",veri!I:I,"&lt;311")</f>
        <v>0</v>
      </c>
      <c r="F4" s="116">
        <f>COUNTIFS(veri!G:G,5,veri!I:I,"&gt;=310",veri!I:I,"&lt;311")</f>
        <v>0</v>
      </c>
      <c r="G4" s="116">
        <f>COUNTIFS(veri!G:G,6,veri!I:I,"&gt;=310",veri!I:I,"&lt;311")</f>
        <v>0</v>
      </c>
      <c r="H4" s="116">
        <f>COUNTIFS(veri!G:G,7,veri!I:I,"&gt;=310",veri!I:I,"&lt;311")</f>
        <v>0</v>
      </c>
      <c r="I4" s="116">
        <f>COUNTIFS(veri!G:G,8,veri!I:I,"&gt;=310",veri!I:I,"&lt;311")</f>
        <v>0</v>
      </c>
      <c r="J4" s="116">
        <f>COUNTIFS(veri!G:G,9,veri!I:I,"&gt;=310",veri!I:I,"&lt;311")</f>
        <v>0</v>
      </c>
      <c r="K4" s="116">
        <f>COUNTIFS(veri!G:G,10,veri!I:I,"&gt;=310",veri!I:I,"&lt;311")</f>
        <v>0</v>
      </c>
      <c r="L4" s="116">
        <f>COUNTIFS(veri!G:G,11,veri!I:I,"&gt;=310",veri!I:I,"&lt;311")</f>
        <v>0</v>
      </c>
      <c r="M4" s="116">
        <f>COUNTIFS(veri!G:G,12,veri!I:I,"&gt;=310",veri!I:I,"&lt;311")</f>
        <v>0</v>
      </c>
      <c r="N4" s="116">
        <f>COUNTIFS(veri!G:G,13,veri!I:I,"&gt;=310",veri!I:I,"&lt;311")</f>
        <v>0</v>
      </c>
      <c r="O4" s="116">
        <f>COUNTIFS(veri!G:G,14,veri!I:I,"&gt;=310",veri!I:I,"&lt;311")</f>
        <v>0</v>
      </c>
      <c r="P4" s="116">
        <f>COUNTIFS(veri!G:G,15,veri!I:I,"&gt;=310",veri!I:I,"&lt;311")</f>
        <v>0</v>
      </c>
      <c r="Q4" s="116">
        <f>COUNTIFS(veri!G:G,16,veri!I:I,"&gt;=310",veri!I:I,"&lt;311")</f>
        <v>0</v>
      </c>
      <c r="R4" s="116">
        <f>COUNTIFS(veri!G:G,17,veri!I:I,"&gt;=310",veri!I:I,"&lt;311")</f>
        <v>0</v>
      </c>
      <c r="S4" s="116">
        <f>COUNTIFS(veri!G:G,18,veri!I:I,"&gt;=310",veri!I:I,"&lt;311")</f>
        <v>0</v>
      </c>
      <c r="T4" s="116">
        <f>COUNTIFS(veri!G:G,19,veri!I:I,"&gt;=310",veri!I:I,"&lt;311")</f>
        <v>0</v>
      </c>
      <c r="U4" s="116">
        <f>COUNTIFS(veri!G:G,20,veri!I:I,"&gt;=310",veri!I:I,"&lt;311")</f>
        <v>0</v>
      </c>
      <c r="V4" s="116">
        <f>COUNTIFS(veri!G:G,21,veri!I:I,"&gt;=310",veri!I:I,"&lt;311")</f>
        <v>0</v>
      </c>
      <c r="W4" s="116">
        <f>COUNTIFS(veri!G:G,22,veri!I:I,"&gt;=310",veri!I:I,"&lt;311")</f>
        <v>0</v>
      </c>
      <c r="X4" s="116">
        <f>COUNTIFS(veri!G:G,23,veri!I:I,"&gt;=310",veri!I:I,"&lt;311")</f>
        <v>0</v>
      </c>
      <c r="Y4" s="116">
        <f>COUNTIFS(veri!G:G,24,veri!I:I,"&gt;=310",veri!I:I,"&lt;311")</f>
        <v>0</v>
      </c>
      <c r="Z4" s="116">
        <f>COUNTIFS(veri!G:G,25,veri!I:I,"&gt;=310",veri!I:I,"&lt;311")</f>
        <v>0</v>
      </c>
      <c r="AA4" s="116">
        <f>COUNTIFS(veri!G:G,26,veri!I:I,"&gt;=310",veri!I:I,"&lt;311")</f>
        <v>0</v>
      </c>
      <c r="AB4" s="116">
        <f>COUNTIFS(veri!G:G,51,veri!I:I,"&gt;=310",veri!I:I,"&lt;311")</f>
        <v>0</v>
      </c>
      <c r="AC4" s="116">
        <f>COUNTIFS(veri!G:G,52,veri!I:I,"&gt;=310",veri!I:I,"&lt;311")</f>
        <v>0</v>
      </c>
      <c r="AD4" s="116">
        <f>COUNTIFS(veri!G:G,53,veri!I:I,"&gt;=310",veri!I:I,"&lt;311")</f>
        <v>0</v>
      </c>
      <c r="AE4" s="116">
        <f>COUNTIFS(veri!G:G,54,veri!I:I,"&gt;=310",veri!I:I,"&lt;311")</f>
        <v>0</v>
      </c>
      <c r="AF4" s="116">
        <f>COUNTIFS(veri!G:G,55,veri!I:I,"&gt;=310",veri!I:I,"&lt;311")</f>
        <v>0</v>
      </c>
      <c r="AG4" s="116">
        <f>COUNTIFS(veri!G:G,56,veri!I:I,"&gt;=310",veri!I:I,"&lt;311")</f>
        <v>0</v>
      </c>
      <c r="AH4" s="116">
        <f>COUNTIFS(veri!G:G,57,veri!I:I,"&gt;=310",veri!I:I,"&lt;311")</f>
        <v>0</v>
      </c>
      <c r="AI4" s="127">
        <f>COUNTIFS(veri!G:G,58,veri!I:I,"&gt;=310",veri!I:I,"&lt;311")</f>
        <v>0</v>
      </c>
      <c r="AJ4" s="116">
        <f>COUNTIFS(veri!G:G,59,veri!I:I,"&gt;=310",veri!I:I,"&lt;311")</f>
        <v>0</v>
      </c>
      <c r="AK4" s="116">
        <f>COUNTIFS(veri!G:G,60,veri!I:I,"&gt;=310",veri!I:I,"&lt;311")</f>
        <v>0</v>
      </c>
      <c r="AL4" s="116">
        <f>COUNTIFS(veri!G:G,61,veri!I:I,"&gt;=310",veri!I:I,"&lt;311")</f>
        <v>0</v>
      </c>
      <c r="AM4" s="116">
        <f>COUNTIFS(veri!G:G,62,veri!I:I,"&gt;=310",veri!I:I,"&lt;311")</f>
        <v>0</v>
      </c>
      <c r="AN4" s="116">
        <f>COUNTIFS(veri!G:G,63,veri!I:I,"&gt;=310",veri!I:I,"&lt;311")</f>
        <v>0</v>
      </c>
      <c r="AO4" s="116">
        <f>COUNTIFS(veri!G:G,64,veri!I:I,"&gt;=310",veri!I:I,"&lt;311")</f>
        <v>0</v>
      </c>
      <c r="AP4" s="116">
        <f>COUNTIFS(veri!G:G,65,veri!I:I,"&gt;=310",veri!I:I,"&lt;311")</f>
        <v>0</v>
      </c>
      <c r="AQ4" s="116">
        <f>COUNTIFS(veri!G:G,66,veri!I:I,"&gt;=310",veri!I:I,"&lt;311")</f>
        <v>0</v>
      </c>
      <c r="AR4" s="116">
        <f>COUNTIFS(veri!G:G,67,veri!I:I,"&gt;=310",veri!I:I,"&lt;311")</f>
        <v>0</v>
      </c>
      <c r="AS4" s="116">
        <f>COUNTIFS(veri!G:G,68,veri!I:I,"&gt;=310",veri!I:I,"&lt;311")</f>
        <v>0</v>
      </c>
      <c r="AT4" s="116">
        <f>COUNTIFS(veri!G:G,69,veri!I:I,"&gt;=310",veri!I:I,"&lt;311")</f>
        <v>0</v>
      </c>
      <c r="AU4" s="116">
        <f>COUNTIFS(veri!G:G,70,veri!I:I,"&gt;=310",veri!I:I,"&lt;311")</f>
        <v>0</v>
      </c>
      <c r="AV4" s="116">
        <f>COUNTIFS(veri!G:G,71,veri!I:I,"&gt;=310",veri!I:I,"&lt;311")</f>
        <v>0</v>
      </c>
      <c r="AW4" s="116">
        <f>COUNTIFS(veri!G:G,72,veri!I:I,"&gt;=310",veri!I:I,"&lt;311")</f>
        <v>0</v>
      </c>
      <c r="AX4" s="116">
        <f>COUNTIFS(veri!G:G,73,veri!I:I,"&gt;=310",veri!I:I,"&lt;311")</f>
        <v>0</v>
      </c>
      <c r="AY4" s="116">
        <f>COUNTIFS(veri!G:G,74,veri!I:I,"&gt;=310",veri!I:I,"&lt;311")</f>
        <v>0</v>
      </c>
      <c r="AZ4" s="116">
        <f>COUNTIFS(veri!G:G,75,veri!I:I,"&gt;=310",veri!I:I,"&lt;311")</f>
        <v>0</v>
      </c>
      <c r="BA4" s="116">
        <f>COUNTIFS(veri!G:G,76,veri!I:I,"&gt;=310",veri!I:I,"&lt;311")</f>
        <v>0</v>
      </c>
      <c r="BB4" s="116">
        <f>COUNTIFS(veri!G:G,77,veri!I:I,"&gt;=310",veri!I:I,"&lt;311")</f>
        <v>0</v>
      </c>
      <c r="BC4" s="116">
        <f>COUNTIFS(veri!G:G,78,veri!I:I,"&gt;=310",veri!I:I,"&lt;311")</f>
        <v>0</v>
      </c>
      <c r="BD4" s="116">
        <f>COUNTIFS(veri!G:G,79,veri!I:I,"&gt;=310",veri!I:I,"&lt;311")</f>
        <v>0</v>
      </c>
      <c r="BE4" s="116">
        <f>COUNTIFS(veri!G:G,80,veri!I:I,"&gt;=310",veri!I:I,"&lt;311")</f>
        <v>0</v>
      </c>
      <c r="BF4" s="116">
        <f>COUNTIFS(veri!G:G,81,veri!I:I,"&gt;=310",veri!I:I,"&lt;311")</f>
        <v>0</v>
      </c>
      <c r="BG4" s="116">
        <f>COUNTIFS(veri!G:G,82,veri!I:I,"&gt;=310",veri!I:I,"&lt;311")</f>
        <v>0</v>
      </c>
      <c r="BH4" s="116">
        <f>COUNTIFS(veri!G:G,83,veri!I:I,"&gt;=310",veri!I:I,"&lt;311")</f>
        <v>0</v>
      </c>
      <c r="BI4" s="116">
        <f>COUNTIFS(veri!G:G,84,veri!I:I,"&gt;=310",veri!I:I,"&lt;311")</f>
        <v>0</v>
      </c>
      <c r="BJ4" s="116">
        <f>COUNTIFS(veri!G:G,85,veri!I:I,"&gt;=310",veri!I:I,"&lt;311")</f>
        <v>0</v>
      </c>
      <c r="BK4" s="116">
        <f>COUNTIFS(veri!G:G,86,veri!I:I,"&gt;=310",veri!I:I,"&lt;311")</f>
        <v>0</v>
      </c>
      <c r="BL4" s="116">
        <f>COUNTIFS(veri!G:G,87,veri!I:I,"&gt;=310",veri!I:I,"&lt;311")</f>
        <v>0</v>
      </c>
      <c r="BM4" s="116">
        <f>COUNTIFS(veri!G:G,88,veri!I:I,"&gt;=310",veri!I:I,"&lt;311")</f>
        <v>0</v>
      </c>
      <c r="BN4" s="116">
        <f>COUNTIFS(veri!G:G,89,veri!I:I,"&gt;=310",veri!I:I,"&lt;311")</f>
        <v>0</v>
      </c>
      <c r="BO4" s="116">
        <f>COUNTIFS(veri!G:G,90,veri!I:I,"&gt;=310",veri!I:I,"&lt;311")</f>
        <v>0</v>
      </c>
      <c r="BP4" s="116">
        <f>COUNTIFS(veri!G:G,91,veri!I:I,"&gt;=310",veri!I:I,"&lt;311")</f>
        <v>0</v>
      </c>
      <c r="BQ4" s="116">
        <f>COUNTIFS(veri!G:G,92,veri!I:I,"&gt;=310",veri!I:I,"&lt;311")</f>
        <v>0</v>
      </c>
      <c r="BR4" s="116">
        <f>COUNTIFS(veri!G:G,93,veri!I:I,"&gt;=310",veri!I:I,"&lt;311")</f>
        <v>0</v>
      </c>
      <c r="BS4" s="116">
        <f>COUNTIFS(veri!G:G,94,veri!I:I,"&gt;=310",veri!I:I,"&lt;311")</f>
        <v>0</v>
      </c>
      <c r="BT4" s="116">
        <f>COUNTIFS(veri!G:G,95,veri!I:I,"&gt;=310",veri!I:I,"&lt;311")</f>
        <v>0</v>
      </c>
      <c r="BU4" s="116">
        <f>COUNTIFS(veri!G:G,96,veri!I:I,"&gt;=310",veri!I:I,"&lt;311")</f>
        <v>0</v>
      </c>
      <c r="BV4" s="116">
        <f>COUNTIFS(veri!G:G,97,veri!I:I,"&gt;=310",veri!I:I,"&lt;311")</f>
        <v>0</v>
      </c>
      <c r="BW4" s="116">
        <f>COUNTIFS(veri!G:G,98,veri!I:I,"&gt;=310",veri!I:I,"&lt;311")</f>
        <v>0</v>
      </c>
      <c r="BX4" s="116">
        <f>COUNTIFS(veri!G:G,99,veri!I:I,"&gt;=310",veri!I:I,"&lt;311")</f>
        <v>0</v>
      </c>
      <c r="BY4" s="116">
        <f>COUNTIFS(veri!G:G,100,veri!I:I,"&gt;=310",veri!I:I,"&lt;311")</f>
        <v>0</v>
      </c>
      <c r="BZ4" s="116">
        <f>COUNTIFS(veri!G:G,101,veri!I:I,"&gt;=310",veri!I:I,"&lt;311")</f>
        <v>0</v>
      </c>
      <c r="CA4" s="116">
        <f>COUNTIFS(veri!G:G,102,veri!I:I,"&gt;=310",veri!I:I,"&lt;311")</f>
        <v>0</v>
      </c>
      <c r="CB4" s="116">
        <f>COUNTIFS(veri!G:G,103,veri!I:I,"&gt;=310",veri!I:I,"&lt;311")</f>
        <v>0</v>
      </c>
      <c r="CC4" s="116">
        <f>COUNTIFS(veri!G:G,104,veri!I:I,"&gt;=310",veri!I:I,"&lt;311")</f>
        <v>0</v>
      </c>
      <c r="CD4" s="116">
        <f>COUNTIFS(veri!G:G,105,veri!I:I,"&gt;=310",veri!I:I,"&lt;311")</f>
        <v>0</v>
      </c>
      <c r="CE4" s="121">
        <f t="shared" ref="CE4:CE11" si="0">SUM(B4:CD4)</f>
        <v>0</v>
      </c>
      <c r="CF4" s="14"/>
      <c r="CG4" s="14"/>
      <c r="CH4" s="14"/>
      <c r="CI4" s="14"/>
      <c r="CJ4" s="14"/>
      <c r="CK4" s="14"/>
    </row>
    <row r="5" spans="1:89" ht="13.5" customHeight="1" x14ac:dyDescent="0.15">
      <c r="A5" s="122" t="s">
        <v>946</v>
      </c>
      <c r="B5" s="123">
        <f>COUNTIFS(veri!G:G,1,veri!I:I,"&gt;=320",veri!I:I,"&lt;321")</f>
        <v>0</v>
      </c>
      <c r="C5" s="123">
        <f>COUNTIFS(veri!G:G,2,veri!I:I,"&gt;=320",veri!I:I,"&lt;321")</f>
        <v>0</v>
      </c>
      <c r="D5" s="123">
        <f>COUNTIFS(veri!G:G,3,veri!I:I,"&gt;=320",veri!I:I,"&lt;321")</f>
        <v>0</v>
      </c>
      <c r="E5" s="123">
        <f>COUNTIFS(veri!G:G,4,veri!I:I,"&gt;=320",veri!I:I,"&lt;321")</f>
        <v>0</v>
      </c>
      <c r="F5" s="123">
        <f>COUNTIFS(veri!G:G,5,veri!I:I,"&gt;=320",veri!I:I,"&lt;321")</f>
        <v>0</v>
      </c>
      <c r="G5" s="123">
        <f>COUNTIFS(veri!G:G,6,veri!I:I,"&gt;=320",veri!I:I,"&lt;321")</f>
        <v>0</v>
      </c>
      <c r="H5" s="123">
        <f>COUNTIFS(veri!G:G,7,veri!I:I,"&gt;=320",veri!I:I,"&lt;321")</f>
        <v>0</v>
      </c>
      <c r="I5" s="123">
        <f>COUNTIFS(veri!G:G,8,veri!I:I,"&gt;=320",veri!I:I,"&lt;321")</f>
        <v>0</v>
      </c>
      <c r="J5" s="123">
        <f>COUNTIFS(veri!G:G,9,veri!I:I,"&gt;=320",veri!I:I,"&lt;321")</f>
        <v>0</v>
      </c>
      <c r="K5" s="123">
        <f>COUNTIFS(veri!G:G,10,veri!I:I,"&gt;=320",veri!I:I,"&lt;321")</f>
        <v>0</v>
      </c>
      <c r="L5" s="123">
        <f>COUNTIFS(veri!G:G,11,veri!I:I,"&gt;=320",veri!I:I,"&lt;321")</f>
        <v>0</v>
      </c>
      <c r="M5" s="123">
        <f>COUNTIFS(veri!G:G,12,veri!I:I,"&gt;=320",veri!I:I,"&lt;321")</f>
        <v>0</v>
      </c>
      <c r="N5" s="123">
        <f>COUNTIFS(veri!G:G,13,veri!I:I,"&gt;=320",veri!I:I,"&lt;321")</f>
        <v>0</v>
      </c>
      <c r="O5" s="123">
        <f>COUNTIFS(veri!G:G,14,veri!I:I,"&gt;=320",veri!I:I,"&lt;321")</f>
        <v>0</v>
      </c>
      <c r="P5" s="123">
        <f>COUNTIFS(veri!G:G,15,veri!I:I,"&gt;=320",veri!I:I,"&lt;321")</f>
        <v>0</v>
      </c>
      <c r="Q5" s="123">
        <f>COUNTIFS(veri!G:G,16,veri!I:I,"&gt;=320",veri!I:I,"&lt;321")</f>
        <v>0</v>
      </c>
      <c r="R5" s="123">
        <f>COUNTIFS(veri!G:G,17,veri!I:I,"&gt;=320",veri!I:I,"&lt;321")</f>
        <v>0</v>
      </c>
      <c r="S5" s="123">
        <f>COUNTIFS(veri!G:G,18,veri!I:I,"&gt;=320",veri!I:I,"&lt;321")</f>
        <v>0</v>
      </c>
      <c r="T5" s="123">
        <f>COUNTIFS(veri!G:G,19,veri!I:I,"&gt;=320",veri!I:I,"&lt;321")</f>
        <v>0</v>
      </c>
      <c r="U5" s="123">
        <f>COUNTIFS(veri!G:G,20,veri!I:I,"&gt;=320",veri!I:I,"&lt;321")</f>
        <v>0</v>
      </c>
      <c r="V5" s="123">
        <f>COUNTIFS(veri!G:G,21,veri!I:I,"&gt;=320",veri!I:I,"&lt;321")</f>
        <v>0</v>
      </c>
      <c r="W5" s="123">
        <f>COUNTIFS(veri!G:G,22,veri!I:I,"&gt;=320",veri!I:I,"&lt;321")</f>
        <v>0</v>
      </c>
      <c r="X5" s="123">
        <f>COUNTIFS(veri!G:G,23,veri!I:I,"&gt;=320",veri!I:I,"&lt;321")</f>
        <v>0</v>
      </c>
      <c r="Y5" s="123">
        <f>COUNTIFS(veri!G:G,24,veri!I:I,"&gt;=320",veri!I:I,"&lt;321")</f>
        <v>0</v>
      </c>
      <c r="Z5" s="123">
        <f>COUNTIFS(veri!G:G,25,veri!I:I,"&gt;=320",veri!I:I,"&lt;321")</f>
        <v>0</v>
      </c>
      <c r="AA5" s="123">
        <f>COUNTIFS(veri!G:G,26,veri!I:I,"&gt;=320",veri!I:I,"&lt;321")</f>
        <v>0</v>
      </c>
      <c r="AB5" s="123">
        <f>COUNTIFS(veri!G:G,51,veri!I:I,"&gt;=320",veri!I:I,"&lt;321")</f>
        <v>0</v>
      </c>
      <c r="AC5" s="123">
        <f>COUNTIFS(veri!G:G,52,veri!I:I,"&gt;=320",veri!I:I,"&lt;321")</f>
        <v>0</v>
      </c>
      <c r="AD5" s="123">
        <f>COUNTIFS(veri!G:G,53,veri!I:I,"&gt;=320",veri!I:I,"&lt;321")</f>
        <v>0</v>
      </c>
      <c r="AE5" s="123">
        <f>COUNTIFS(veri!G:G,54,veri!I:I,"&gt;=320",veri!I:I,"&lt;321")</f>
        <v>0</v>
      </c>
      <c r="AF5" s="123">
        <f>COUNTIFS(veri!G:G,55,veri!I:I,"&gt;=320",veri!I:I,"&lt;321")</f>
        <v>0</v>
      </c>
      <c r="AG5" s="123">
        <f>COUNTIFS(veri!G:G,56,veri!I:I,"&gt;=320",veri!I:I,"&lt;321")</f>
        <v>0</v>
      </c>
      <c r="AH5" s="123">
        <f>COUNTIFS(veri!G:G,57,veri!I:I,"&gt;=320",veri!I:I,"&lt;321")</f>
        <v>0</v>
      </c>
      <c r="AI5" s="124">
        <f>COUNTIFS(veri!G:G,58,veri!I:I,"&gt;=320",veri!I:I,"&lt;321")</f>
        <v>0</v>
      </c>
      <c r="AJ5" s="123">
        <f>COUNTIFS(veri!G:G,59,veri!I:I,"&gt;=320",veri!I:I,"&lt;321")</f>
        <v>0</v>
      </c>
      <c r="AK5" s="123">
        <f>COUNTIFS(veri!G:G,60,veri!I:I,"&gt;=320",veri!I:I,"&lt;321")</f>
        <v>0</v>
      </c>
      <c r="AL5" s="123">
        <f>COUNTIFS(veri!G:G,61,veri!I:I,"&gt;=320",veri!I:I,"&lt;321")</f>
        <v>0</v>
      </c>
      <c r="AM5" s="123">
        <f>COUNTIFS(veri!G:G,62,veri!I:I,"&gt;=320",veri!I:I,"&lt;321")</f>
        <v>0</v>
      </c>
      <c r="AN5" s="123">
        <f>COUNTIFS(veri!G:G,63,veri!I:I,"&gt;=320",veri!I:I,"&lt;321")</f>
        <v>0</v>
      </c>
      <c r="AO5" s="123">
        <f>COUNTIFS(veri!G:G,64,veri!I:I,"&gt;=320",veri!I:I,"&lt;321")</f>
        <v>0</v>
      </c>
      <c r="AP5" s="123">
        <f>COUNTIFS(veri!G:G,65,veri!I:I,"&gt;=320",veri!I:I,"&lt;321")</f>
        <v>0</v>
      </c>
      <c r="AQ5" s="123">
        <f>COUNTIFS(veri!G:G,66,veri!I:I,"&gt;=320",veri!I:I,"&lt;321")</f>
        <v>0</v>
      </c>
      <c r="AR5" s="123">
        <f>COUNTIFS(veri!G:G,67,veri!I:I,"&gt;=320",veri!I:I,"&lt;321")</f>
        <v>0</v>
      </c>
      <c r="AS5" s="123">
        <f>COUNTIFS(veri!G:G,68,veri!I:I,"&gt;=320",veri!I:I,"&lt;321")</f>
        <v>0</v>
      </c>
      <c r="AT5" s="123">
        <f>COUNTIFS(veri!G:G,69,veri!I:I,"&gt;=320",veri!I:I,"&lt;321")</f>
        <v>0</v>
      </c>
      <c r="AU5" s="123">
        <f>COUNTIFS(veri!G:G,70,veri!I:I,"&gt;=320",veri!I:I,"&lt;321")</f>
        <v>0</v>
      </c>
      <c r="AV5" s="123">
        <f>COUNTIFS(veri!G:G,71,veri!I:I,"&gt;=320",veri!I:I,"&lt;321")</f>
        <v>0</v>
      </c>
      <c r="AW5" s="123">
        <f>COUNTIFS(veri!G:G,72,veri!I:I,"&gt;=320",veri!I:I,"&lt;321")</f>
        <v>0</v>
      </c>
      <c r="AX5" s="123">
        <f>COUNTIFS(veri!G:G,73,veri!I:I,"&gt;=320",veri!I:I,"&lt;321")</f>
        <v>0</v>
      </c>
      <c r="AY5" s="123">
        <f>COUNTIFS(veri!G:G,74,veri!I:I,"&gt;=320",veri!I:I,"&lt;321")</f>
        <v>0</v>
      </c>
      <c r="AZ5" s="123">
        <f>COUNTIFS(veri!G:G,75,veri!I:I,"&gt;=320",veri!I:I,"&lt;321")</f>
        <v>0</v>
      </c>
      <c r="BA5" s="123">
        <f>COUNTIFS(veri!G:G,76,veri!I:I,"&gt;=320",veri!I:I,"&lt;321")</f>
        <v>0</v>
      </c>
      <c r="BB5" s="123">
        <f>COUNTIFS(veri!G:G,77,veri!I:I,"&gt;=320",veri!I:I,"&lt;321")</f>
        <v>0</v>
      </c>
      <c r="BC5" s="123">
        <f>COUNTIFS(veri!G:G,78,veri!I:I,"&gt;=320",veri!I:I,"&lt;321")</f>
        <v>0</v>
      </c>
      <c r="BD5" s="123">
        <f>COUNTIFS(veri!G:G,79,veri!I:I,"&gt;=320",veri!I:I,"&lt;321")</f>
        <v>0</v>
      </c>
      <c r="BE5" s="123">
        <f>COUNTIFS(veri!G:G,80,veri!I:I,"&gt;=320",veri!I:I,"&lt;321")</f>
        <v>0</v>
      </c>
      <c r="BF5" s="123">
        <f>COUNTIFS(veri!G:G,81,veri!I:I,"&gt;=320",veri!I:I,"&lt;321")</f>
        <v>0</v>
      </c>
      <c r="BG5" s="123">
        <f>COUNTIFS(veri!G:G,82,veri!I:I,"&gt;=320",veri!I:I,"&lt;321")</f>
        <v>0</v>
      </c>
      <c r="BH5" s="123">
        <f>COUNTIFS(veri!G:G,83,veri!I:I,"&gt;=320",veri!I:I,"&lt;321")</f>
        <v>0</v>
      </c>
      <c r="BI5" s="123">
        <f>COUNTIFS(veri!G:G,84,veri!I:I,"&gt;=320",veri!I:I,"&lt;321")</f>
        <v>0</v>
      </c>
      <c r="BJ5" s="123">
        <f>COUNTIFS(veri!G:G,85,veri!I:I,"&gt;=320",veri!I:I,"&lt;321")</f>
        <v>0</v>
      </c>
      <c r="BK5" s="123">
        <f>COUNTIFS(veri!G:G,86,veri!I:I,"&gt;=320",veri!I:I,"&lt;321")</f>
        <v>0</v>
      </c>
      <c r="BL5" s="123">
        <f>COUNTIFS(veri!G:G,87,veri!I:I,"&gt;=320",veri!I:I,"&lt;321")</f>
        <v>0</v>
      </c>
      <c r="BM5" s="123">
        <f>COUNTIFS(veri!G:G,88,veri!I:I,"&gt;=320",veri!I:I,"&lt;321")</f>
        <v>0</v>
      </c>
      <c r="BN5" s="123">
        <f>COUNTIFS(veri!G:G,89,veri!I:I,"&gt;=320",veri!I:I,"&lt;321")</f>
        <v>0</v>
      </c>
      <c r="BO5" s="123">
        <f>COUNTIFS(veri!G:G,90,veri!I:I,"&gt;=320",veri!I:I,"&lt;321")</f>
        <v>0</v>
      </c>
      <c r="BP5" s="123">
        <f>COUNTIFS(veri!G:G,91,veri!I:I,"&gt;=320",veri!I:I,"&lt;321")</f>
        <v>0</v>
      </c>
      <c r="BQ5" s="123">
        <f>COUNTIFS(veri!G:G,92,veri!I:I,"&gt;=320",veri!I:I,"&lt;321")</f>
        <v>0</v>
      </c>
      <c r="BR5" s="123">
        <f>COUNTIFS(veri!G:G,93,veri!I:I,"&gt;=320",veri!I:I,"&lt;321")</f>
        <v>0</v>
      </c>
      <c r="BS5" s="123">
        <f>COUNTIFS(veri!G:G,94,veri!I:I,"&gt;=320",veri!I:I,"&lt;321")</f>
        <v>0</v>
      </c>
      <c r="BT5" s="123">
        <f>COUNTIFS(veri!G:G,95,veri!I:I,"&gt;=320",veri!I:I,"&lt;321")</f>
        <v>0</v>
      </c>
      <c r="BU5" s="123">
        <f>COUNTIFS(veri!G:G,96,veri!I:I,"&gt;=320",veri!I:I,"&lt;321")</f>
        <v>0</v>
      </c>
      <c r="BV5" s="123">
        <f>COUNTIFS(veri!G:G,97,veri!I:I,"&gt;=320",veri!I:I,"&lt;321")</f>
        <v>0</v>
      </c>
      <c r="BW5" s="123">
        <f>COUNTIFS(veri!G:G,98,veri!I:I,"&gt;=320",veri!I:I,"&lt;321")</f>
        <v>0</v>
      </c>
      <c r="BX5" s="123">
        <f>COUNTIFS(veri!G:G,99,veri!I:I,"&gt;=320",veri!I:I,"&lt;321")</f>
        <v>0</v>
      </c>
      <c r="BY5" s="123">
        <f>COUNTIFS(veri!G:G,100,veri!I:I,"&gt;=320",veri!I:I,"&lt;321")</f>
        <v>0</v>
      </c>
      <c r="BZ5" s="123">
        <f>COUNTIFS(veri!G:G,101,veri!I:I,"&gt;=320",veri!I:I,"&lt;321")</f>
        <v>0</v>
      </c>
      <c r="CA5" s="123">
        <f>COUNTIFS(veri!G:G,102,veri!I:I,"&gt;=320",veri!I:I,"&lt;321")</f>
        <v>0</v>
      </c>
      <c r="CB5" s="123">
        <f>COUNTIFS(veri!G:G,103,veri!I:I,"&gt;=320",veri!I:I,"&lt;321")</f>
        <v>0</v>
      </c>
      <c r="CC5" s="123">
        <f>COUNTIFS(veri!G:G,104,veri!I:I,"&gt;=320",veri!I:I,"&lt;321")</f>
        <v>0</v>
      </c>
      <c r="CD5" s="123">
        <f>COUNTIFS(veri!G:G,105,veri!I:I,"&gt;=320",veri!I:I,"&lt;321")</f>
        <v>0</v>
      </c>
      <c r="CE5" s="121">
        <f t="shared" si="0"/>
        <v>0</v>
      </c>
      <c r="CF5" s="14"/>
      <c r="CG5" s="14"/>
      <c r="CH5" s="14"/>
      <c r="CI5" s="14"/>
      <c r="CJ5" s="14"/>
      <c r="CK5" s="14"/>
    </row>
    <row r="6" spans="1:89" ht="13.5" customHeight="1" x14ac:dyDescent="0.15">
      <c r="A6" s="120" t="s">
        <v>947</v>
      </c>
      <c r="B6" s="116">
        <f>COUNTIFS(veri!G:G,1,veri!I:I,"&gt;=330",veri!I:I,"&lt;331")</f>
        <v>0</v>
      </c>
      <c r="C6" s="116">
        <f>COUNTIFS(veri!G:G,2,veri!I:I,"&gt;=330",veri!I:I,"&lt;331")</f>
        <v>0</v>
      </c>
      <c r="D6" s="116">
        <f>COUNTIFS(veri!G:G,3,veri!I:I,"&gt;=330",veri!I:I,"&lt;331")</f>
        <v>0</v>
      </c>
      <c r="E6" s="116">
        <f>COUNTIFS(veri!G:G,4,veri!I:I,"&gt;=330",veri!I:I,"&lt;331")</f>
        <v>0</v>
      </c>
      <c r="F6" s="116">
        <f>COUNTIFS(veri!G:G,5,veri!I:I,"&gt;=330",veri!I:I,"&lt;331")</f>
        <v>0</v>
      </c>
      <c r="G6" s="116">
        <f>COUNTIFS(veri!G:G,6,veri!I:I,"&gt;=330",veri!I:I,"&lt;331")</f>
        <v>0</v>
      </c>
      <c r="H6" s="116">
        <f>COUNTIFS(veri!G:G,7,veri!I:I,"&gt;=330",veri!I:I,"&lt;331")</f>
        <v>0</v>
      </c>
      <c r="I6" s="116">
        <f>COUNTIFS(veri!G:G,8,veri!I:I,"&gt;=330",veri!I:I,"&lt;331")</f>
        <v>0</v>
      </c>
      <c r="J6" s="116">
        <f>COUNTIFS(veri!G:G,9,veri!I:I,"&gt;=330",veri!I:I,"&lt;331")</f>
        <v>0</v>
      </c>
      <c r="K6" s="116">
        <f>COUNTIFS(veri!G:G,10,veri!I:I,"&gt;=330",veri!I:I,"&lt;331")</f>
        <v>0</v>
      </c>
      <c r="L6" s="116">
        <f>COUNTIFS(veri!G:G,11,veri!I:I,"&gt;=330",veri!I:I,"&lt;331")</f>
        <v>0</v>
      </c>
      <c r="M6" s="116">
        <f>COUNTIFS(veri!G:G,12,veri!I:I,"&gt;=330",veri!I:I,"&lt;331")</f>
        <v>0</v>
      </c>
      <c r="N6" s="116">
        <f>COUNTIFS(veri!G:G,13,veri!I:I,"&gt;=330",veri!I:I,"&lt;331")</f>
        <v>0</v>
      </c>
      <c r="O6" s="116">
        <f>COUNTIFS(veri!G:G,14,veri!I:I,"&gt;=330",veri!I:I,"&lt;331")</f>
        <v>0</v>
      </c>
      <c r="P6" s="116">
        <f>COUNTIFS(veri!G:G,15,veri!I:I,"&gt;=330",veri!I:I,"&lt;331")</f>
        <v>0</v>
      </c>
      <c r="Q6" s="116">
        <f>COUNTIFS(veri!G:G,16,veri!I:I,"&gt;=330",veri!I:I,"&lt;331")</f>
        <v>0</v>
      </c>
      <c r="R6" s="116">
        <f>COUNTIFS(veri!G:G,17,veri!I:I,"&gt;=330",veri!I:I,"&lt;331")</f>
        <v>0</v>
      </c>
      <c r="S6" s="116">
        <f>COUNTIFS(veri!G:G,18,veri!I:I,"&gt;=330",veri!I:I,"&lt;331")</f>
        <v>0</v>
      </c>
      <c r="T6" s="116">
        <f>COUNTIFS(veri!G:G,19,veri!I:I,"&gt;=330",veri!I:I,"&lt;331")</f>
        <v>0</v>
      </c>
      <c r="U6" s="116">
        <f>COUNTIFS(veri!G:G,20,veri!I:I,"&gt;=330",veri!I:I,"&lt;331")</f>
        <v>0</v>
      </c>
      <c r="V6" s="116">
        <f>COUNTIFS(veri!G:G,21,veri!I:I,"&gt;=330",veri!I:I,"&lt;331")</f>
        <v>0</v>
      </c>
      <c r="W6" s="116">
        <f>COUNTIFS(veri!G:G,22,veri!I:I,"&gt;=330",veri!I:I,"&lt;331")</f>
        <v>0</v>
      </c>
      <c r="X6" s="116">
        <f>COUNTIFS(veri!G:G,23,veri!I:I,"&gt;=330",veri!I:I,"&lt;331")</f>
        <v>0</v>
      </c>
      <c r="Y6" s="116">
        <f>COUNTIFS(veri!G:G,24,veri!I:I,"&gt;=330",veri!I:I,"&lt;331")</f>
        <v>0</v>
      </c>
      <c r="Z6" s="116">
        <f>COUNTIFS(veri!G:G,25,veri!I:I,"&gt;=330",veri!I:I,"&lt;331")</f>
        <v>0</v>
      </c>
      <c r="AA6" s="116">
        <f>COUNTIFS(veri!G:G,26,veri!I:I,"&gt;=330",veri!I:I,"&lt;331")</f>
        <v>0</v>
      </c>
      <c r="AB6" s="116">
        <f>COUNTIFS(veri!G:G,51,veri!I:I,"&gt;=330",veri!I:I,"&lt;331")</f>
        <v>0</v>
      </c>
      <c r="AC6" s="116">
        <f>COUNTIFS(veri!G:G,52,veri!I:I,"&gt;=330",veri!I:I,"&lt;331")</f>
        <v>0</v>
      </c>
      <c r="AD6" s="116">
        <f>COUNTIFS(veri!G:G,53,veri!I:I,"&gt;=330",veri!I:I,"&lt;331")</f>
        <v>0</v>
      </c>
      <c r="AE6" s="116">
        <f>COUNTIFS(veri!G:G,54,veri!I:I,"&gt;=330",veri!I:I,"&lt;331")</f>
        <v>0</v>
      </c>
      <c r="AF6" s="116">
        <f>COUNTIFS(veri!G:G,55,veri!I:I,"&gt;=330",veri!I:I,"&lt;331")</f>
        <v>0</v>
      </c>
      <c r="AG6" s="116">
        <f>COUNTIFS(veri!G:G,56,veri!I:I,"&gt;=330",veri!I:I,"&lt;331")</f>
        <v>0</v>
      </c>
      <c r="AH6" s="116">
        <f>COUNTIFS(veri!G:G,57,veri!I:I,"&gt;=330",veri!I:I,"&lt;331")</f>
        <v>0</v>
      </c>
      <c r="AI6" s="127">
        <f>COUNTIFS(veri!G:G,58,veri!I:I,"&gt;=330",veri!I:I,"&lt;331")</f>
        <v>0</v>
      </c>
      <c r="AJ6" s="116">
        <f>COUNTIFS(veri!G:G,59,veri!I:I,"&gt;=330",veri!I:I,"&lt;331")</f>
        <v>0</v>
      </c>
      <c r="AK6" s="116">
        <f>COUNTIFS(veri!G:G,60,veri!I:I,"&gt;=330",veri!I:I,"&lt;331")</f>
        <v>0</v>
      </c>
      <c r="AL6" s="116">
        <f>COUNTIFS(veri!G:G,61,veri!I:I,"&gt;=330",veri!I:I,"&lt;331")</f>
        <v>0</v>
      </c>
      <c r="AM6" s="116">
        <f>COUNTIFS(veri!G:G,62,veri!I:I,"&gt;=330",veri!I:I,"&lt;331")</f>
        <v>0</v>
      </c>
      <c r="AN6" s="116">
        <f>COUNTIFS(veri!G:G,63,veri!I:I,"&gt;=330",veri!I:I,"&lt;331")</f>
        <v>0</v>
      </c>
      <c r="AO6" s="116">
        <f>COUNTIFS(veri!G:G,64,veri!I:I,"&gt;=330",veri!I:I,"&lt;331")</f>
        <v>0</v>
      </c>
      <c r="AP6" s="116">
        <f>COUNTIFS(veri!G:G,65,veri!I:I,"&gt;=330",veri!I:I,"&lt;331")</f>
        <v>0</v>
      </c>
      <c r="AQ6" s="116">
        <f>COUNTIFS(veri!G:G,66,veri!I:I,"&gt;=330",veri!I:I,"&lt;331")</f>
        <v>0</v>
      </c>
      <c r="AR6" s="116">
        <f>COUNTIFS(veri!G:G,67,veri!I:I,"&gt;=330",veri!I:I,"&lt;331")</f>
        <v>0</v>
      </c>
      <c r="AS6" s="116">
        <f>COUNTIFS(veri!G:G,68,veri!I:I,"&gt;=330",veri!I:I,"&lt;331")</f>
        <v>0</v>
      </c>
      <c r="AT6" s="116">
        <f>COUNTIFS(veri!G:G,69,veri!I:I,"&gt;=330",veri!I:I,"&lt;331")</f>
        <v>0</v>
      </c>
      <c r="AU6" s="116">
        <f>COUNTIFS(veri!G:G,70,veri!I:I,"&gt;=330",veri!I:I,"&lt;331")</f>
        <v>0</v>
      </c>
      <c r="AV6" s="116">
        <f>COUNTIFS(veri!G:G,71,veri!I:I,"&gt;=330",veri!I:I,"&lt;331")</f>
        <v>0</v>
      </c>
      <c r="AW6" s="116">
        <f>COUNTIFS(veri!G:G,72,veri!I:I,"&gt;=330",veri!I:I,"&lt;331")</f>
        <v>0</v>
      </c>
      <c r="AX6" s="116">
        <f>COUNTIFS(veri!G:G,73,veri!I:I,"&gt;=330",veri!I:I,"&lt;331")</f>
        <v>0</v>
      </c>
      <c r="AY6" s="116">
        <f>COUNTIFS(veri!G:G,74,veri!I:I,"&gt;=330",veri!I:I,"&lt;331")</f>
        <v>0</v>
      </c>
      <c r="AZ6" s="116">
        <f>COUNTIFS(veri!G:G,75,veri!I:I,"&gt;=330",veri!I:I,"&lt;331")</f>
        <v>0</v>
      </c>
      <c r="BA6" s="116">
        <f>COUNTIFS(veri!G:G,76,veri!I:I,"&gt;=330",veri!I:I,"&lt;331")</f>
        <v>0</v>
      </c>
      <c r="BB6" s="116">
        <f>COUNTIFS(veri!G:G,77,veri!I:I,"&gt;=330",veri!I:I,"&lt;331")</f>
        <v>0</v>
      </c>
      <c r="BC6" s="116">
        <f>COUNTIFS(veri!G:G,78,veri!I:I,"&gt;=330",veri!I:I,"&lt;331")</f>
        <v>0</v>
      </c>
      <c r="BD6" s="116">
        <f>COUNTIFS(veri!G:G,79,veri!I:I,"&gt;=330",veri!I:I,"&lt;331")</f>
        <v>0</v>
      </c>
      <c r="BE6" s="116">
        <f>COUNTIFS(veri!G:G,80,veri!I:I,"&gt;=330",veri!I:I,"&lt;331")</f>
        <v>0</v>
      </c>
      <c r="BF6" s="116">
        <f>COUNTIFS(veri!G:G,81,veri!I:I,"&gt;=330",veri!I:I,"&lt;331")</f>
        <v>0</v>
      </c>
      <c r="BG6" s="116">
        <f>COUNTIFS(veri!G:G,82,veri!I:I,"&gt;=330",veri!I:I,"&lt;331")</f>
        <v>0</v>
      </c>
      <c r="BH6" s="116">
        <f>COUNTIFS(veri!G:G,83,veri!I:I,"&gt;=330",veri!I:I,"&lt;331")</f>
        <v>0</v>
      </c>
      <c r="BI6" s="116">
        <f>COUNTIFS(veri!G:G,84,veri!I:I,"&gt;=330",veri!I:I,"&lt;331")</f>
        <v>0</v>
      </c>
      <c r="BJ6" s="116">
        <f>COUNTIFS(veri!G:G,85,veri!I:I,"&gt;=330",veri!I:I,"&lt;331")</f>
        <v>0</v>
      </c>
      <c r="BK6" s="116">
        <f>COUNTIFS(veri!G:G,86,veri!I:I,"&gt;=330",veri!I:I,"&lt;331")</f>
        <v>0</v>
      </c>
      <c r="BL6" s="116">
        <f>COUNTIFS(veri!G:G,87,veri!I:I,"&gt;=330",veri!I:I,"&lt;331")</f>
        <v>0</v>
      </c>
      <c r="BM6" s="116">
        <f>COUNTIFS(veri!G:G,88,veri!I:I,"&gt;=330",veri!I:I,"&lt;331")</f>
        <v>0</v>
      </c>
      <c r="BN6" s="116">
        <f>COUNTIFS(veri!G:G,89,veri!I:I,"&gt;=330",veri!I:I,"&lt;331")</f>
        <v>0</v>
      </c>
      <c r="BO6" s="116">
        <f>COUNTIFS(veri!G:G,90,veri!I:I,"&gt;=330",veri!I:I,"&lt;331")</f>
        <v>0</v>
      </c>
      <c r="BP6" s="116">
        <f>COUNTIFS(veri!G:G,91,veri!I:I,"&gt;=330",veri!I:I,"&lt;331")</f>
        <v>0</v>
      </c>
      <c r="BQ6" s="116">
        <f>COUNTIFS(veri!G:G,92,veri!I:I,"&gt;=330",veri!I:I,"&lt;331")</f>
        <v>0</v>
      </c>
      <c r="BR6" s="116">
        <f>COUNTIFS(veri!G:G,93,veri!I:I,"&gt;=330",veri!I:I,"&lt;331")</f>
        <v>0</v>
      </c>
      <c r="BS6" s="116">
        <f>COUNTIFS(veri!G:G,94,veri!I:I,"&gt;=330",veri!I:I,"&lt;331")</f>
        <v>0</v>
      </c>
      <c r="BT6" s="116">
        <f>COUNTIFS(veri!G:G,95,veri!I:I,"&gt;=330",veri!I:I,"&lt;331")</f>
        <v>0</v>
      </c>
      <c r="BU6" s="116">
        <f>COUNTIFS(veri!G:G,96,veri!I:I,"&gt;=330",veri!I:I,"&lt;331")</f>
        <v>0</v>
      </c>
      <c r="BV6" s="116">
        <f>COUNTIFS(veri!G:G,97,veri!I:I,"&gt;=330",veri!I:I,"&lt;331")</f>
        <v>0</v>
      </c>
      <c r="BW6" s="116">
        <f>COUNTIFS(veri!G:G,98,veri!I:I,"&gt;=330",veri!I:I,"&lt;331")</f>
        <v>0</v>
      </c>
      <c r="BX6" s="116">
        <f>COUNTIFS(veri!G:G,99,veri!I:I,"&gt;=330",veri!I:I,"&lt;331")</f>
        <v>0</v>
      </c>
      <c r="BY6" s="116">
        <f>COUNTIFS(veri!G:G,100,veri!I:I,"&gt;=330",veri!I:I,"&lt;331")</f>
        <v>0</v>
      </c>
      <c r="BZ6" s="116">
        <f>COUNTIFS(veri!G:G,101,veri!I:I,"&gt;=330",veri!I:I,"&lt;331")</f>
        <v>0</v>
      </c>
      <c r="CA6" s="116">
        <f>COUNTIFS(veri!G:G,102,veri!I:I,"&gt;=330",veri!I:I,"&lt;331")</f>
        <v>0</v>
      </c>
      <c r="CB6" s="116">
        <f>COUNTIFS(veri!G:G,103,veri!I:I,"&gt;=330",veri!I:I,"&lt;331")</f>
        <v>0</v>
      </c>
      <c r="CC6" s="116">
        <f>COUNTIFS(veri!G:G,104,veri!I:I,"&gt;=330",veri!I:I,"&lt;331")</f>
        <v>0</v>
      </c>
      <c r="CD6" s="116">
        <f>COUNTIFS(veri!G:G,105,veri!I:I,"&gt;=330",veri!I:I,"&lt;331")</f>
        <v>0</v>
      </c>
      <c r="CE6" s="121">
        <f t="shared" si="0"/>
        <v>0</v>
      </c>
      <c r="CF6" s="14"/>
      <c r="CG6" s="14"/>
      <c r="CH6" s="14"/>
      <c r="CI6" s="14"/>
      <c r="CJ6" s="14"/>
      <c r="CK6" s="14"/>
    </row>
    <row r="7" spans="1:89" ht="13.5" customHeight="1" x14ac:dyDescent="0.15">
      <c r="A7" s="122" t="s">
        <v>948</v>
      </c>
      <c r="B7" s="123">
        <f>COUNTIFS(veri!G:G,1,veri!I:I,"&gt;=340",veri!I:I,"&lt;341")</f>
        <v>0</v>
      </c>
      <c r="C7" s="123">
        <f>COUNTIFS(veri!G:G,2,veri!I:I,"&gt;=340",veri!I:I,"&lt;341")</f>
        <v>0</v>
      </c>
      <c r="D7" s="123">
        <f>COUNTIFS(veri!G:G,3,veri!I:I,"&gt;=340",veri!I:I,"&lt;341")</f>
        <v>0</v>
      </c>
      <c r="E7" s="123">
        <f>COUNTIFS(veri!G:G,4,veri!I:I,"&gt;=340",veri!I:I,"&lt;341")</f>
        <v>0</v>
      </c>
      <c r="F7" s="123">
        <f>COUNTIFS(veri!G:G,5,veri!I:I,"&gt;=340",veri!I:I,"&lt;341")</f>
        <v>0</v>
      </c>
      <c r="G7" s="123">
        <f>COUNTIFS(veri!G:G,6,veri!I:I,"&gt;=340",veri!I:I,"&lt;341")</f>
        <v>0</v>
      </c>
      <c r="H7" s="123">
        <f>COUNTIFS(veri!G:G,7,veri!I:I,"&gt;=340",veri!I:I,"&lt;341")</f>
        <v>0</v>
      </c>
      <c r="I7" s="123">
        <f>COUNTIFS(veri!G:G,8,veri!I:I,"&gt;=340",veri!I:I,"&lt;341")</f>
        <v>0</v>
      </c>
      <c r="J7" s="123">
        <f>COUNTIFS(veri!G:G,9,veri!I:I,"&gt;=340",veri!I:I,"&lt;341")</f>
        <v>0</v>
      </c>
      <c r="K7" s="123">
        <f>COUNTIFS(veri!G:G,10,veri!I:I,"&gt;=340",veri!I:I,"&lt;341")</f>
        <v>0</v>
      </c>
      <c r="L7" s="123">
        <f>COUNTIFS(veri!G:G,11,veri!I:I,"&gt;=340",veri!I:I,"&lt;341")</f>
        <v>0</v>
      </c>
      <c r="M7" s="123">
        <f>COUNTIFS(veri!G:G,12,veri!I:I,"&gt;=340",veri!I:I,"&lt;341")</f>
        <v>0</v>
      </c>
      <c r="N7" s="123">
        <f>COUNTIFS(veri!G:G,13,veri!I:I,"&gt;=340",veri!I:I,"&lt;341")</f>
        <v>0</v>
      </c>
      <c r="O7" s="123">
        <f>COUNTIFS(veri!G:G,14,veri!I:I,"&gt;=340",veri!I:I,"&lt;341")</f>
        <v>0</v>
      </c>
      <c r="P7" s="123">
        <f>COUNTIFS(veri!G:G,15,veri!I:I,"&gt;=340",veri!I:I,"&lt;341")</f>
        <v>0</v>
      </c>
      <c r="Q7" s="123">
        <f>COUNTIFS(veri!G:G,16,veri!I:I,"&gt;=340",veri!I:I,"&lt;341")</f>
        <v>0</v>
      </c>
      <c r="R7" s="123">
        <f>COUNTIFS(veri!G:G,17,veri!I:I,"&gt;=340",veri!I:I,"&lt;341")</f>
        <v>0</v>
      </c>
      <c r="S7" s="123">
        <f>COUNTIFS(veri!G:G,18,veri!I:I,"&gt;=340",veri!I:I,"&lt;341")</f>
        <v>0</v>
      </c>
      <c r="T7" s="123">
        <f>COUNTIFS(veri!G:G,19,veri!I:I,"&gt;=340",veri!I:I,"&lt;341")</f>
        <v>0</v>
      </c>
      <c r="U7" s="123">
        <f>COUNTIFS(veri!G:G,20,veri!I:I,"&gt;=340",veri!I:I,"&lt;341")</f>
        <v>0</v>
      </c>
      <c r="V7" s="123">
        <f>COUNTIFS(veri!G:G,21,veri!I:I,"&gt;=340",veri!I:I,"&lt;341")</f>
        <v>0</v>
      </c>
      <c r="W7" s="123">
        <f>COUNTIFS(veri!G:G,22,veri!I:I,"&gt;=340",veri!I:I,"&lt;341")</f>
        <v>0</v>
      </c>
      <c r="X7" s="123">
        <f>COUNTIFS(veri!G:G,23,veri!I:I,"&gt;=340",veri!I:I,"&lt;341")</f>
        <v>0</v>
      </c>
      <c r="Y7" s="123">
        <f>COUNTIFS(veri!G:G,24,veri!I:I,"&gt;=340",veri!I:I,"&lt;341")</f>
        <v>0</v>
      </c>
      <c r="Z7" s="123">
        <f>COUNTIFS(veri!G:G,25,veri!I:I,"&gt;=340",veri!I:I,"&lt;341")</f>
        <v>0</v>
      </c>
      <c r="AA7" s="123">
        <f>COUNTIFS(veri!G:G,26,veri!I:I,"&gt;=340",veri!I:I,"&lt;341")</f>
        <v>0</v>
      </c>
      <c r="AB7" s="123">
        <f>COUNTIFS(veri!G:G,51,veri!I:I,"&gt;=340",veri!I:I,"&lt;341")</f>
        <v>0</v>
      </c>
      <c r="AC7" s="123">
        <f>COUNTIFS(veri!G:G,52,veri!I:I,"&gt;=340",veri!I:I,"&lt;341")</f>
        <v>0</v>
      </c>
      <c r="AD7" s="123">
        <f>COUNTIFS(veri!G:G,53,veri!I:I,"&gt;=340",veri!I:I,"&lt;341")</f>
        <v>0</v>
      </c>
      <c r="AE7" s="123">
        <f>COUNTIFS(veri!G:G,54,veri!I:I,"&gt;=340",veri!I:I,"&lt;341")</f>
        <v>0</v>
      </c>
      <c r="AF7" s="123">
        <f>COUNTIFS(veri!G:G,55,veri!I:I,"&gt;=340",veri!I:I,"&lt;341")</f>
        <v>1</v>
      </c>
      <c r="AG7" s="123">
        <f>COUNTIFS(veri!G:G,56,veri!I:I,"&gt;=340",veri!I:I,"&lt;341")</f>
        <v>0</v>
      </c>
      <c r="AH7" s="123">
        <f>COUNTIFS(veri!G:G,57,veri!I:I,"&gt;=340",veri!I:I,"&lt;341")</f>
        <v>0</v>
      </c>
      <c r="AI7" s="124">
        <f>COUNTIFS(veri!G:G,58,veri!I:I,"&gt;=340",veri!I:I,"&lt;341")</f>
        <v>0</v>
      </c>
      <c r="AJ7" s="123">
        <f>COUNTIFS(veri!G:G,59,veri!I:I,"&gt;=340",veri!I:I,"&lt;341")</f>
        <v>1</v>
      </c>
      <c r="AK7" s="123">
        <f>COUNTIFS(veri!G:G,60,veri!I:I,"&gt;=340",veri!I:I,"&lt;341")</f>
        <v>0</v>
      </c>
      <c r="AL7" s="123">
        <f>COUNTIFS(veri!G:G,61,veri!I:I,"&gt;=340",veri!I:I,"&lt;341")</f>
        <v>0</v>
      </c>
      <c r="AM7" s="123">
        <f>COUNTIFS(veri!G:G,62,veri!I:I,"&gt;=340",veri!I:I,"&lt;341")</f>
        <v>0</v>
      </c>
      <c r="AN7" s="123">
        <f>COUNTIFS(veri!G:G,63,veri!I:I,"&gt;=340",veri!I:I,"&lt;341")</f>
        <v>0</v>
      </c>
      <c r="AO7" s="123">
        <f>COUNTIFS(veri!G:G,64,veri!I:I,"&gt;=340",veri!I:I,"&lt;341")</f>
        <v>0</v>
      </c>
      <c r="AP7" s="123">
        <f>COUNTIFS(veri!G:G,65,veri!I:I,"&gt;=340",veri!I:I,"&lt;341")</f>
        <v>0</v>
      </c>
      <c r="AQ7" s="123">
        <f>COUNTIFS(veri!G:G,66,veri!I:I,"&gt;=340",veri!I:I,"&lt;341")</f>
        <v>0</v>
      </c>
      <c r="AR7" s="123">
        <f>COUNTIFS(veri!G:G,67,veri!I:I,"&gt;=340",veri!I:I,"&lt;341")</f>
        <v>0</v>
      </c>
      <c r="AS7" s="123">
        <f>COUNTIFS(veri!G:G,68,veri!I:I,"&gt;=340",veri!I:I,"&lt;341")</f>
        <v>0</v>
      </c>
      <c r="AT7" s="123">
        <f>COUNTIFS(veri!G:G,69,veri!I:I,"&gt;=340",veri!I:I,"&lt;341")</f>
        <v>0</v>
      </c>
      <c r="AU7" s="123">
        <f>COUNTIFS(veri!G:G,70,veri!I:I,"&gt;=340",veri!I:I,"&lt;341")</f>
        <v>0</v>
      </c>
      <c r="AV7" s="123">
        <f>COUNTIFS(veri!G:G,71,veri!I:I,"&gt;=340",veri!I:I,"&lt;341")</f>
        <v>0</v>
      </c>
      <c r="AW7" s="123">
        <f>COUNTIFS(veri!G:G,72,veri!I:I,"&gt;=340",veri!I:I,"&lt;341")</f>
        <v>0</v>
      </c>
      <c r="AX7" s="123">
        <f>COUNTIFS(veri!G:G,73,veri!I:I,"&gt;=340",veri!I:I,"&lt;341")</f>
        <v>0</v>
      </c>
      <c r="AY7" s="123">
        <f>COUNTIFS(veri!G:G,74,veri!I:I,"&gt;=340",veri!I:I,"&lt;341")</f>
        <v>0</v>
      </c>
      <c r="AZ7" s="123">
        <f>COUNTIFS(veri!G:G,75,veri!I:I,"&gt;=340",veri!I:I,"&lt;341")</f>
        <v>0</v>
      </c>
      <c r="BA7" s="123">
        <f>COUNTIFS(veri!G:G,76,veri!I:I,"&gt;=340",veri!I:I,"&lt;341")</f>
        <v>0</v>
      </c>
      <c r="BB7" s="123">
        <f>COUNTIFS(veri!G:G,77,veri!I:I,"&gt;=340",veri!I:I,"&lt;341")</f>
        <v>0</v>
      </c>
      <c r="BC7" s="123">
        <f>COUNTIFS(veri!G:G,78,veri!I:I,"&gt;=340",veri!I:I,"&lt;341")</f>
        <v>0</v>
      </c>
      <c r="BD7" s="123">
        <f>COUNTIFS(veri!G:G,79,veri!I:I,"&gt;=340",veri!I:I,"&lt;341")</f>
        <v>0</v>
      </c>
      <c r="BE7" s="123">
        <f>COUNTIFS(veri!G:G,80,veri!I:I,"&gt;=340",veri!I:I,"&lt;341")</f>
        <v>0</v>
      </c>
      <c r="BF7" s="123">
        <f>COUNTIFS(veri!G:G,81,veri!I:I,"&gt;=340",veri!I:I,"&lt;341")</f>
        <v>0</v>
      </c>
      <c r="BG7" s="123">
        <f>COUNTIFS(veri!G:G,82,veri!I:I,"&gt;=340",veri!I:I,"&lt;341")</f>
        <v>0</v>
      </c>
      <c r="BH7" s="123">
        <f>COUNTIFS(veri!G:G,83,veri!I:I,"&gt;=340",veri!I:I,"&lt;341")</f>
        <v>0</v>
      </c>
      <c r="BI7" s="123">
        <f>COUNTIFS(veri!G:G,84,veri!I:I,"&gt;=340",veri!I:I,"&lt;341")</f>
        <v>0</v>
      </c>
      <c r="BJ7" s="123">
        <f>COUNTIFS(veri!G:G,85,veri!I:I,"&gt;=340",veri!I:I,"&lt;341")</f>
        <v>0</v>
      </c>
      <c r="BK7" s="123">
        <f>COUNTIFS(veri!G:G,86,veri!I:I,"&gt;=340",veri!I:I,"&lt;341")</f>
        <v>0</v>
      </c>
      <c r="BL7" s="123">
        <f>COUNTIFS(veri!G:G,87,veri!I:I,"&gt;=340",veri!I:I,"&lt;341")</f>
        <v>0</v>
      </c>
      <c r="BM7" s="123">
        <f>COUNTIFS(veri!G:G,88,veri!I:I,"&gt;=340",veri!I:I,"&lt;341")</f>
        <v>0</v>
      </c>
      <c r="BN7" s="123">
        <f>COUNTIFS(veri!G:G,89,veri!I:I,"&gt;=340",veri!I:I,"&lt;341")</f>
        <v>0</v>
      </c>
      <c r="BO7" s="123">
        <f>COUNTIFS(veri!G:G,90,veri!I:I,"&gt;=340",veri!I:I,"&lt;341")</f>
        <v>0</v>
      </c>
      <c r="BP7" s="123">
        <f>COUNTIFS(veri!G:G,91,veri!I:I,"&gt;=340",veri!I:I,"&lt;341")</f>
        <v>0</v>
      </c>
      <c r="BQ7" s="123">
        <f>COUNTIFS(veri!G:G,92,veri!I:I,"&gt;=340",veri!I:I,"&lt;341")</f>
        <v>0</v>
      </c>
      <c r="BR7" s="123">
        <f>COUNTIFS(veri!G:G,93,veri!I:I,"&gt;=340",veri!I:I,"&lt;341")</f>
        <v>0</v>
      </c>
      <c r="BS7" s="123">
        <f>COUNTIFS(veri!G:G,94,veri!I:I,"&gt;=340",veri!I:I,"&lt;341")</f>
        <v>0</v>
      </c>
      <c r="BT7" s="123">
        <f>COUNTIFS(veri!G:G,95,veri!I:I,"&gt;=340",veri!I:I,"&lt;341")</f>
        <v>0</v>
      </c>
      <c r="BU7" s="123">
        <f>COUNTIFS(veri!G:G,96,veri!I:I,"&gt;=340",veri!I:I,"&lt;341")</f>
        <v>0</v>
      </c>
      <c r="BV7" s="123">
        <f>COUNTIFS(veri!G:G,97,veri!I:I,"&gt;=340",veri!I:I,"&lt;341")</f>
        <v>0</v>
      </c>
      <c r="BW7" s="123">
        <f>COUNTIFS(veri!G:G,98,veri!I:I,"&gt;=340",veri!I:I,"&lt;341")</f>
        <v>0</v>
      </c>
      <c r="BX7" s="123">
        <f>COUNTIFS(veri!G:G,99,veri!I:I,"&gt;=340",veri!I:I,"&lt;341")</f>
        <v>0</v>
      </c>
      <c r="BY7" s="123">
        <f>COUNTIFS(veri!G:G,100,veri!I:I,"&gt;=340",veri!I:I,"&lt;341")</f>
        <v>0</v>
      </c>
      <c r="BZ7" s="123">
        <f>COUNTIFS(veri!G:G,101,veri!I:I,"&gt;=340",veri!I:I,"&lt;341")</f>
        <v>0</v>
      </c>
      <c r="CA7" s="123">
        <f>COUNTIFS(veri!G:G,102,veri!I:I,"&gt;=340",veri!I:I,"&lt;341")</f>
        <v>0</v>
      </c>
      <c r="CB7" s="123">
        <f>COUNTIFS(veri!G:G,103,veri!I:I,"&gt;=340",veri!I:I,"&lt;341")</f>
        <v>0</v>
      </c>
      <c r="CC7" s="123">
        <f>COUNTIFS(veri!G:G,104,veri!I:I,"&gt;=340",veri!I:I,"&lt;341")</f>
        <v>0</v>
      </c>
      <c r="CD7" s="123">
        <f>COUNTIFS(veri!G:G,105,veri!I:I,"&gt;=340",veri!I:I,"&lt;341")</f>
        <v>0</v>
      </c>
      <c r="CE7" s="121">
        <f t="shared" si="0"/>
        <v>2</v>
      </c>
      <c r="CF7" s="14"/>
      <c r="CG7" s="14"/>
      <c r="CH7" s="14"/>
      <c r="CI7" s="14"/>
      <c r="CJ7" s="14"/>
      <c r="CK7" s="14"/>
    </row>
    <row r="8" spans="1:89" ht="13.5" customHeight="1" x14ac:dyDescent="0.15">
      <c r="A8" s="120" t="s">
        <v>949</v>
      </c>
      <c r="B8" s="116">
        <f>COUNTIFS(veri!G:G,1,veri!I:I,"&gt;=350",veri!I:I,"&lt;351")</f>
        <v>0</v>
      </c>
      <c r="C8" s="116">
        <f>COUNTIFS(veri!G:G,2,veri!I:I,"&gt;=350",veri!I:I,"&lt;351")</f>
        <v>0</v>
      </c>
      <c r="D8" s="116">
        <f>COUNTIFS(veri!G:G,3,veri!I:I,"&gt;=350",veri!I:I,"&lt;351")</f>
        <v>0</v>
      </c>
      <c r="E8" s="116">
        <f>COUNTIFS(veri!G:G,4,veri!I:I,"&gt;=350",veri!I:I,"&lt;351")</f>
        <v>0</v>
      </c>
      <c r="F8" s="116">
        <f>COUNTIFS(veri!G:G,5,veri!I:I,"&gt;=350",veri!I:I,"&lt;351")</f>
        <v>0</v>
      </c>
      <c r="G8" s="116">
        <f>COUNTIFS(veri!G:G,6,veri!I:I,"&gt;=350",veri!I:I,"&lt;351")</f>
        <v>0</v>
      </c>
      <c r="H8" s="116">
        <f>COUNTIFS(veri!G:G,7,veri!I:I,"&gt;=350",veri!I:I,"&lt;351")</f>
        <v>0</v>
      </c>
      <c r="I8" s="116">
        <f>COUNTIFS(veri!G:G,8,veri!I:I,"&gt;=350",veri!I:I,"&lt;351")</f>
        <v>0</v>
      </c>
      <c r="J8" s="116">
        <f>COUNTIFS(veri!G:G,9,veri!I:I,"&gt;=350",veri!I:I,"&lt;351")</f>
        <v>0</v>
      </c>
      <c r="K8" s="116">
        <f>COUNTIFS(veri!G:G,10,veri!I:I,"&gt;=350",veri!I:I,"&lt;351")</f>
        <v>0</v>
      </c>
      <c r="L8" s="116">
        <f>COUNTIFS(veri!G:G,11,veri!I:I,"&gt;=350",veri!I:I,"&lt;351")</f>
        <v>0</v>
      </c>
      <c r="M8" s="116">
        <f>COUNTIFS(veri!G:G,12,veri!I:I,"&gt;=350",veri!I:I,"&lt;351")</f>
        <v>0</v>
      </c>
      <c r="N8" s="116">
        <f>COUNTIFS(veri!G:G,13,veri!I:I,"&gt;=350",veri!I:I,"&lt;351")</f>
        <v>0</v>
      </c>
      <c r="O8" s="116">
        <f>COUNTIFS(veri!G:G,14,veri!I:I,"&gt;=350",veri!I:I,"&lt;351")</f>
        <v>0</v>
      </c>
      <c r="P8" s="116">
        <f>COUNTIFS(veri!G:G,15,veri!I:I,"&gt;=350",veri!I:I,"&lt;351")</f>
        <v>0</v>
      </c>
      <c r="Q8" s="116">
        <f>COUNTIFS(veri!G:G,16,veri!I:I,"&gt;=350",veri!I:I,"&lt;351")</f>
        <v>0</v>
      </c>
      <c r="R8" s="116">
        <f>COUNTIFS(veri!G:G,17,veri!I:I,"&gt;=350",veri!I:I,"&lt;351")</f>
        <v>0</v>
      </c>
      <c r="S8" s="116">
        <f>COUNTIFS(veri!G:G,18,veri!I:I,"&gt;=350",veri!I:I,"&lt;351")</f>
        <v>0</v>
      </c>
      <c r="T8" s="116">
        <f>COUNTIFS(veri!G:G,19,veri!I:I,"&gt;=350",veri!I:I,"&lt;351")</f>
        <v>0</v>
      </c>
      <c r="U8" s="116">
        <f>COUNTIFS(veri!G:G,20,veri!I:I,"&gt;=350",veri!I:I,"&lt;351")</f>
        <v>0</v>
      </c>
      <c r="V8" s="116">
        <f>COUNTIFS(veri!G:G,21,veri!I:I,"&gt;=350",veri!I:I,"&lt;351")</f>
        <v>0</v>
      </c>
      <c r="W8" s="116">
        <f>COUNTIFS(veri!G:G,22,veri!I:I,"&gt;=350",veri!I:I,"&lt;351")</f>
        <v>0</v>
      </c>
      <c r="X8" s="116">
        <f>COUNTIFS(veri!G:G,23,veri!I:I,"&gt;=350",veri!I:I,"&lt;351")</f>
        <v>0</v>
      </c>
      <c r="Y8" s="116">
        <f>COUNTIFS(veri!G:G,24,veri!I:I,"&gt;=350",veri!I:I,"&lt;351")</f>
        <v>0</v>
      </c>
      <c r="Z8" s="116">
        <f>COUNTIFS(veri!G:G,25,veri!I:I,"&gt;=350",veri!I:I,"&lt;351")</f>
        <v>0</v>
      </c>
      <c r="AA8" s="116">
        <f>COUNTIFS(veri!G:G,26,veri!I:I,"&gt;=350",veri!I:I,"&lt;351")</f>
        <v>0</v>
      </c>
      <c r="AB8" s="116">
        <f>COUNTIFS(veri!G:G,51,veri!I:I,"&gt;=350",veri!I:I,"&lt;351")</f>
        <v>0</v>
      </c>
      <c r="AC8" s="116">
        <f>COUNTIFS(veri!G:G,52,veri!I:I,"&gt;=350",veri!I:I,"&lt;351")</f>
        <v>0</v>
      </c>
      <c r="AD8" s="116">
        <f>COUNTIFS(veri!G:G,53,veri!I:I,"&gt;=350",veri!I:I,"&lt;351")</f>
        <v>0</v>
      </c>
      <c r="AE8" s="116">
        <f>COUNTIFS(veri!G:G,54,veri!I:I,"&gt;=350",veri!I:I,"&lt;351")</f>
        <v>0</v>
      </c>
      <c r="AF8" s="116">
        <f>COUNTIFS(veri!G:G,55,veri!I:I,"&gt;=350",veri!I:I,"&lt;351")</f>
        <v>0</v>
      </c>
      <c r="AG8" s="116">
        <f>COUNTIFS(veri!G:G,56,veri!I:I,"&gt;=350",veri!I:I,"&lt;351")</f>
        <v>0</v>
      </c>
      <c r="AH8" s="116">
        <f>COUNTIFS(veri!G:G,57,veri!I:I,"&gt;=350",veri!I:I,"&lt;351")</f>
        <v>0</v>
      </c>
      <c r="AI8" s="127">
        <f>COUNTIFS(veri!G:G,58,veri!I:I,"&gt;=350",veri!I:I,"&lt;351")</f>
        <v>0</v>
      </c>
      <c r="AJ8" s="116">
        <f>COUNTIFS(veri!G:G,59,veri!I:I,"&gt;=350",veri!I:I,"&lt;351")</f>
        <v>0</v>
      </c>
      <c r="AK8" s="116">
        <f>COUNTIFS(veri!G:G,60,veri!I:I,"&gt;=350",veri!I:I,"&lt;351")</f>
        <v>0</v>
      </c>
      <c r="AL8" s="116">
        <f>COUNTIFS(veri!G:G,61,veri!I:I,"&gt;=350",veri!I:I,"&lt;351")</f>
        <v>0</v>
      </c>
      <c r="AM8" s="116">
        <f>COUNTIFS(veri!G:G,62,veri!I:I,"&gt;=350",veri!I:I,"&lt;351")</f>
        <v>0</v>
      </c>
      <c r="AN8" s="116">
        <f>COUNTIFS(veri!G:G,63,veri!I:I,"&gt;=350",veri!I:I,"&lt;351")</f>
        <v>0</v>
      </c>
      <c r="AO8" s="116">
        <f>COUNTIFS(veri!G:G,64,veri!I:I,"&gt;=350",veri!I:I,"&lt;351")</f>
        <v>0</v>
      </c>
      <c r="AP8" s="116">
        <f>COUNTIFS(veri!G:G,65,veri!I:I,"&gt;=350",veri!I:I,"&lt;351")</f>
        <v>0</v>
      </c>
      <c r="AQ8" s="116">
        <f>COUNTIFS(veri!G:G,66,veri!I:I,"&gt;=350",veri!I:I,"&lt;351")</f>
        <v>0</v>
      </c>
      <c r="AR8" s="116">
        <f>COUNTIFS(veri!G:G,67,veri!I:I,"&gt;=350",veri!I:I,"&lt;351")</f>
        <v>0</v>
      </c>
      <c r="AS8" s="116">
        <f>COUNTIFS(veri!G:G,68,veri!I:I,"&gt;=350",veri!I:I,"&lt;351")</f>
        <v>0</v>
      </c>
      <c r="AT8" s="116">
        <f>COUNTIFS(veri!G:G,69,veri!I:I,"&gt;=350",veri!I:I,"&lt;351")</f>
        <v>0</v>
      </c>
      <c r="AU8" s="116">
        <f>COUNTIFS(veri!G:G,70,veri!I:I,"&gt;=350",veri!I:I,"&lt;351")</f>
        <v>0</v>
      </c>
      <c r="AV8" s="116">
        <f>COUNTIFS(veri!G:G,71,veri!I:I,"&gt;=350",veri!I:I,"&lt;351")</f>
        <v>0</v>
      </c>
      <c r="AW8" s="116">
        <f>COUNTIFS(veri!G:G,72,veri!I:I,"&gt;=350",veri!I:I,"&lt;351")</f>
        <v>0</v>
      </c>
      <c r="AX8" s="116">
        <f>COUNTIFS(veri!G:G,73,veri!I:I,"&gt;=350",veri!I:I,"&lt;351")</f>
        <v>0</v>
      </c>
      <c r="AY8" s="116">
        <f>COUNTIFS(veri!G:G,74,veri!I:I,"&gt;=350",veri!I:I,"&lt;351")</f>
        <v>0</v>
      </c>
      <c r="AZ8" s="116">
        <f>COUNTIFS(veri!G:G,75,veri!I:I,"&gt;=350",veri!I:I,"&lt;351")</f>
        <v>0</v>
      </c>
      <c r="BA8" s="116">
        <f>COUNTIFS(veri!G:G,76,veri!I:I,"&gt;=350",veri!I:I,"&lt;351")</f>
        <v>0</v>
      </c>
      <c r="BB8" s="116">
        <f>COUNTIFS(veri!G:G,77,veri!I:I,"&gt;=350",veri!I:I,"&lt;351")</f>
        <v>0</v>
      </c>
      <c r="BC8" s="116">
        <f>COUNTIFS(veri!G:G,78,veri!I:I,"&gt;=350",veri!I:I,"&lt;351")</f>
        <v>0</v>
      </c>
      <c r="BD8" s="116">
        <f>COUNTIFS(veri!G:G,79,veri!I:I,"&gt;=350",veri!I:I,"&lt;351")</f>
        <v>0</v>
      </c>
      <c r="BE8" s="116">
        <f>COUNTIFS(veri!G:G,80,veri!I:I,"&gt;=350",veri!I:I,"&lt;351")</f>
        <v>0</v>
      </c>
      <c r="BF8" s="116">
        <f>COUNTIFS(veri!G:G,81,veri!I:I,"&gt;=350",veri!I:I,"&lt;351")</f>
        <v>0</v>
      </c>
      <c r="BG8" s="116">
        <f>COUNTIFS(veri!G:G,82,veri!I:I,"&gt;=350",veri!I:I,"&lt;351")</f>
        <v>0</v>
      </c>
      <c r="BH8" s="116">
        <f>COUNTIFS(veri!G:G,83,veri!I:I,"&gt;=350",veri!I:I,"&lt;351")</f>
        <v>0</v>
      </c>
      <c r="BI8" s="116">
        <f>COUNTIFS(veri!G:G,84,veri!I:I,"&gt;=350",veri!I:I,"&lt;351")</f>
        <v>0</v>
      </c>
      <c r="BJ8" s="116">
        <f>COUNTIFS(veri!G:G,85,veri!I:I,"&gt;=350",veri!I:I,"&lt;351")</f>
        <v>0</v>
      </c>
      <c r="BK8" s="116">
        <f>COUNTIFS(veri!G:G,86,veri!I:I,"&gt;=350",veri!I:I,"&lt;351")</f>
        <v>0</v>
      </c>
      <c r="BL8" s="116">
        <f>COUNTIFS(veri!G:G,87,veri!I:I,"&gt;=350",veri!I:I,"&lt;351")</f>
        <v>0</v>
      </c>
      <c r="BM8" s="116">
        <f>COUNTIFS(veri!G:G,88,veri!I:I,"&gt;=350",veri!I:I,"&lt;351")</f>
        <v>0</v>
      </c>
      <c r="BN8" s="116">
        <f>COUNTIFS(veri!G:G,89,veri!I:I,"&gt;=350",veri!I:I,"&lt;351")</f>
        <v>0</v>
      </c>
      <c r="BO8" s="116">
        <f>COUNTIFS(veri!G:G,90,veri!I:I,"&gt;=350",veri!I:I,"&lt;351")</f>
        <v>0</v>
      </c>
      <c r="BP8" s="116">
        <f>COUNTIFS(veri!G:G,91,veri!I:I,"&gt;=350",veri!I:I,"&lt;351")</f>
        <v>0</v>
      </c>
      <c r="BQ8" s="116">
        <f>COUNTIFS(veri!G:G,92,veri!I:I,"&gt;=350",veri!I:I,"&lt;351")</f>
        <v>0</v>
      </c>
      <c r="BR8" s="116">
        <f>COUNTIFS(veri!G:G,93,veri!I:I,"&gt;=350",veri!I:I,"&lt;351")</f>
        <v>0</v>
      </c>
      <c r="BS8" s="116">
        <f>COUNTIFS(veri!G:G,94,veri!I:I,"&gt;=350",veri!I:I,"&lt;351")</f>
        <v>0</v>
      </c>
      <c r="BT8" s="116">
        <f>COUNTIFS(veri!G:G,95,veri!I:I,"&gt;=350",veri!I:I,"&lt;351")</f>
        <v>0</v>
      </c>
      <c r="BU8" s="116">
        <f>COUNTIFS(veri!G:G,96,veri!I:I,"&gt;=350",veri!I:I,"&lt;351")</f>
        <v>0</v>
      </c>
      <c r="BV8" s="116">
        <f>COUNTIFS(veri!G:G,97,veri!I:I,"&gt;=350",veri!I:I,"&lt;351")</f>
        <v>0</v>
      </c>
      <c r="BW8" s="116">
        <f>COUNTIFS(veri!G:G,98,veri!I:I,"&gt;=350",veri!I:I,"&lt;351")</f>
        <v>0</v>
      </c>
      <c r="BX8" s="116">
        <f>COUNTIFS(veri!G:G,99,veri!I:I,"&gt;=350",veri!I:I,"&lt;351")</f>
        <v>0</v>
      </c>
      <c r="BY8" s="116">
        <f>COUNTIFS(veri!G:G,100,veri!I:I,"&gt;=350",veri!I:I,"&lt;351")</f>
        <v>0</v>
      </c>
      <c r="BZ8" s="116">
        <f>COUNTIFS(veri!G:G,101,veri!I:I,"&gt;=350",veri!I:I,"&lt;351")</f>
        <v>0</v>
      </c>
      <c r="CA8" s="116">
        <f>COUNTIFS(veri!G:G,102,veri!I:I,"&gt;=350",veri!I:I,"&lt;351")</f>
        <v>0</v>
      </c>
      <c r="CB8" s="116">
        <f>COUNTIFS(veri!G:G,103,veri!I:I,"&gt;=350",veri!I:I,"&lt;351")</f>
        <v>0</v>
      </c>
      <c r="CC8" s="116">
        <f>COUNTIFS(veri!G:G,104,veri!I:I,"&gt;=350",veri!I:I,"&lt;351")</f>
        <v>0</v>
      </c>
      <c r="CD8" s="116">
        <f>COUNTIFS(veri!G:G,105,veri!I:I,"&gt;=350",veri!I:I,"&lt;351")</f>
        <v>0</v>
      </c>
      <c r="CE8" s="121">
        <f t="shared" si="0"/>
        <v>0</v>
      </c>
      <c r="CF8" s="14"/>
      <c r="CG8" s="14"/>
      <c r="CH8" s="14"/>
      <c r="CI8" s="14"/>
      <c r="CJ8" s="14"/>
      <c r="CK8" s="14"/>
    </row>
    <row r="9" spans="1:89" ht="13.5" customHeight="1" x14ac:dyDescent="0.15">
      <c r="A9" s="122" t="s">
        <v>950</v>
      </c>
      <c r="B9" s="123">
        <f>COUNTIFS(veri!G:G,1,veri!I:I,"&gt;=360",veri!I:I,"&lt;361")</f>
        <v>0</v>
      </c>
      <c r="C9" s="123">
        <f>COUNTIFS(veri!G:G,2,veri!I:I,"&gt;=360",veri!I:I,"&lt;361")</f>
        <v>0</v>
      </c>
      <c r="D9" s="123">
        <f>COUNTIFS(veri!G:G,3,veri!I:I,"&gt;=360",veri!I:I,"&lt;361")</f>
        <v>0</v>
      </c>
      <c r="E9" s="123">
        <f>COUNTIFS(veri!G:G,4,veri!I:I,"&gt;=360",veri!I:I,"&lt;361")</f>
        <v>0</v>
      </c>
      <c r="F9" s="123">
        <f>COUNTIFS(veri!G:G,5,veri!I:I,"&gt;=360",veri!I:I,"&lt;361")</f>
        <v>0</v>
      </c>
      <c r="G9" s="123">
        <f>COUNTIFS(veri!G:G,6,veri!I:I,"&gt;=360",veri!I:I,"&lt;361")</f>
        <v>0</v>
      </c>
      <c r="H9" s="123">
        <f>COUNTIFS(veri!G:G,7,veri!I:I,"&gt;=360",veri!I:I,"&lt;361")</f>
        <v>0</v>
      </c>
      <c r="I9" s="123">
        <f>COUNTIFS(veri!G:G,8,veri!I:I,"&gt;=360",veri!I:I,"&lt;361")</f>
        <v>0</v>
      </c>
      <c r="J9" s="123">
        <f>COUNTIFS(veri!G:G,9,veri!I:I,"&gt;=360",veri!I:I,"&lt;361")</f>
        <v>0</v>
      </c>
      <c r="K9" s="123">
        <f>COUNTIFS(veri!G:G,10,veri!I:I,"&gt;=360",veri!I:I,"&lt;361")</f>
        <v>0</v>
      </c>
      <c r="L9" s="123">
        <f>COUNTIFS(veri!G:G,11,veri!I:I,"&gt;=360",veri!I:I,"&lt;361")</f>
        <v>0</v>
      </c>
      <c r="M9" s="123">
        <f>COUNTIFS(veri!G:G,12,veri!I:I,"&gt;=360",veri!I:I,"&lt;361")</f>
        <v>0</v>
      </c>
      <c r="N9" s="123">
        <f>COUNTIFS(veri!G:G,13,veri!I:I,"&gt;=360",veri!I:I,"&lt;361")</f>
        <v>0</v>
      </c>
      <c r="O9" s="123">
        <f>COUNTIFS(veri!G:G,14,veri!I:I,"&gt;=360",veri!I:I,"&lt;361")</f>
        <v>0</v>
      </c>
      <c r="P9" s="123">
        <f>COUNTIFS(veri!G:G,15,veri!I:I,"&gt;=360",veri!I:I,"&lt;361")</f>
        <v>0</v>
      </c>
      <c r="Q9" s="123">
        <f>COUNTIFS(veri!G:G,16,veri!I:I,"&gt;=360",veri!I:I,"&lt;361")</f>
        <v>0</v>
      </c>
      <c r="R9" s="123">
        <f>COUNTIFS(veri!G:G,17,veri!I:I,"&gt;=360",veri!I:I,"&lt;361")</f>
        <v>0</v>
      </c>
      <c r="S9" s="123">
        <f>COUNTIFS(veri!G:G,18,veri!I:I,"&gt;=360",veri!I:I,"&lt;361")</f>
        <v>0</v>
      </c>
      <c r="T9" s="123">
        <f>COUNTIFS(veri!G:G,19,veri!I:I,"&gt;=360",veri!I:I,"&lt;361")</f>
        <v>0</v>
      </c>
      <c r="U9" s="123">
        <f>COUNTIFS(veri!G:G,20,veri!I:I,"&gt;=360",veri!I:I,"&lt;361")</f>
        <v>0</v>
      </c>
      <c r="V9" s="123">
        <f>COUNTIFS(veri!G:G,21,veri!I:I,"&gt;=360",veri!I:I,"&lt;361")</f>
        <v>0</v>
      </c>
      <c r="W9" s="123">
        <f>COUNTIFS(veri!G:G,22,veri!I:I,"&gt;=360",veri!I:I,"&lt;361")</f>
        <v>0</v>
      </c>
      <c r="X9" s="123">
        <f>COUNTIFS(veri!G:G,23,veri!I:I,"&gt;=360",veri!I:I,"&lt;361")</f>
        <v>0</v>
      </c>
      <c r="Y9" s="123">
        <f>COUNTIFS(veri!G:G,24,veri!I:I,"&gt;=360",veri!I:I,"&lt;361")</f>
        <v>0</v>
      </c>
      <c r="Z9" s="123">
        <f>COUNTIFS(veri!G:G,25,veri!I:I,"&gt;=360",veri!I:I,"&lt;361")</f>
        <v>0</v>
      </c>
      <c r="AA9" s="123">
        <f>COUNTIFS(veri!G:G,26,veri!I:I,"&gt;=360",veri!I:I,"&lt;361")</f>
        <v>0</v>
      </c>
      <c r="AB9" s="123">
        <f>COUNTIFS(veri!G:G,51,veri!I:I,"&gt;=360",veri!I:I,"&lt;361")</f>
        <v>0</v>
      </c>
      <c r="AC9" s="123">
        <f>COUNTIFS(veri!G:G,52,veri!I:I,"&gt;=360",veri!I:I,"&lt;361")</f>
        <v>0</v>
      </c>
      <c r="AD9" s="123">
        <f>COUNTIFS(veri!G:G,53,veri!I:I,"&gt;=360",veri!I:I,"&lt;361")</f>
        <v>0</v>
      </c>
      <c r="AE9" s="123">
        <f>COUNTIFS(veri!G:G,54,veri!I:I,"&gt;=360",veri!I:I,"&lt;361")</f>
        <v>0</v>
      </c>
      <c r="AF9" s="123">
        <f>COUNTIFS(veri!G:G,55,veri!I:I,"&gt;=360",veri!I:I,"&lt;361")</f>
        <v>0</v>
      </c>
      <c r="AG9" s="123">
        <f>COUNTIFS(veri!G:G,56,veri!I:I,"&gt;=360",veri!I:I,"&lt;361")</f>
        <v>0</v>
      </c>
      <c r="AH9" s="123">
        <f>COUNTIFS(veri!G:G,57,veri!I:I,"&gt;=360",veri!I:I,"&lt;361")</f>
        <v>0</v>
      </c>
      <c r="AI9" s="124">
        <f>COUNTIFS(veri!G:G,58,veri!I:I,"&gt;=360",veri!I:I,"&lt;361")</f>
        <v>0</v>
      </c>
      <c r="AJ9" s="123">
        <f>COUNTIFS(veri!G:G,59,veri!I:I,"&gt;=360",veri!I:I,"&lt;361")</f>
        <v>0</v>
      </c>
      <c r="AK9" s="123">
        <f>COUNTIFS(veri!G:G,60,veri!I:I,"&gt;=360",veri!I:I,"&lt;361")</f>
        <v>0</v>
      </c>
      <c r="AL9" s="123">
        <f>COUNTIFS(veri!G:G,61,veri!I:I,"&gt;=360",veri!I:I,"&lt;361")</f>
        <v>0</v>
      </c>
      <c r="AM9" s="123">
        <f>COUNTIFS(veri!G:G,62,veri!I:I,"&gt;=360",veri!I:I,"&lt;361")</f>
        <v>0</v>
      </c>
      <c r="AN9" s="123">
        <f>COUNTIFS(veri!G:G,63,veri!I:I,"&gt;=360",veri!I:I,"&lt;361")</f>
        <v>0</v>
      </c>
      <c r="AO9" s="123">
        <f>COUNTIFS(veri!G:G,64,veri!I:I,"&gt;=360",veri!I:I,"&lt;361")</f>
        <v>0</v>
      </c>
      <c r="AP9" s="123">
        <f>COUNTIFS(veri!G:G,65,veri!I:I,"&gt;=360",veri!I:I,"&lt;361")</f>
        <v>0</v>
      </c>
      <c r="AQ9" s="123">
        <f>COUNTIFS(veri!G:G,66,veri!I:I,"&gt;=360",veri!I:I,"&lt;361")</f>
        <v>0</v>
      </c>
      <c r="AR9" s="123">
        <f>COUNTIFS(veri!G:G,67,veri!I:I,"&gt;=360",veri!I:I,"&lt;361")</f>
        <v>0</v>
      </c>
      <c r="AS9" s="123">
        <f>COUNTIFS(veri!G:G,68,veri!I:I,"&gt;=360",veri!I:I,"&lt;361")</f>
        <v>0</v>
      </c>
      <c r="AT9" s="123">
        <f>COUNTIFS(veri!G:G,69,veri!I:I,"&gt;=360",veri!I:I,"&lt;361")</f>
        <v>0</v>
      </c>
      <c r="AU9" s="123">
        <f>COUNTIFS(veri!G:G,70,veri!I:I,"&gt;=360",veri!I:I,"&lt;361")</f>
        <v>0</v>
      </c>
      <c r="AV9" s="123">
        <f>COUNTIFS(veri!G:G,71,veri!I:I,"&gt;=360",veri!I:I,"&lt;361")</f>
        <v>0</v>
      </c>
      <c r="AW9" s="123">
        <f>COUNTIFS(veri!G:G,72,veri!I:I,"&gt;=360",veri!I:I,"&lt;361")</f>
        <v>0</v>
      </c>
      <c r="AX9" s="123">
        <f>COUNTIFS(veri!G:G,73,veri!I:I,"&gt;=360",veri!I:I,"&lt;361")</f>
        <v>0</v>
      </c>
      <c r="AY9" s="123">
        <f>COUNTIFS(veri!G:G,74,veri!I:I,"&gt;=360",veri!I:I,"&lt;361")</f>
        <v>0</v>
      </c>
      <c r="AZ9" s="123">
        <f>COUNTIFS(veri!G:G,75,veri!I:I,"&gt;=360",veri!I:I,"&lt;361")</f>
        <v>0</v>
      </c>
      <c r="BA9" s="123">
        <f>COUNTIFS(veri!G:G,76,veri!I:I,"&gt;=360",veri!I:I,"&lt;361")</f>
        <v>0</v>
      </c>
      <c r="BB9" s="123">
        <f>COUNTIFS(veri!G:G,77,veri!I:I,"&gt;=360",veri!I:I,"&lt;361")</f>
        <v>0</v>
      </c>
      <c r="BC9" s="123">
        <f>COUNTIFS(veri!G:G,78,veri!I:I,"&gt;=360",veri!I:I,"&lt;361")</f>
        <v>0</v>
      </c>
      <c r="BD9" s="123">
        <f>COUNTIFS(veri!G:G,79,veri!I:I,"&gt;=360",veri!I:I,"&lt;361")</f>
        <v>0</v>
      </c>
      <c r="BE9" s="123">
        <f>COUNTIFS(veri!G:G,80,veri!I:I,"&gt;=360",veri!I:I,"&lt;361")</f>
        <v>0</v>
      </c>
      <c r="BF9" s="123">
        <f>COUNTIFS(veri!G:G,81,veri!I:I,"&gt;=360",veri!I:I,"&lt;361")</f>
        <v>0</v>
      </c>
      <c r="BG9" s="123">
        <f>COUNTIFS(veri!G:G,82,veri!I:I,"&gt;=360",veri!I:I,"&lt;361")</f>
        <v>0</v>
      </c>
      <c r="BH9" s="123">
        <f>COUNTIFS(veri!G:G,83,veri!I:I,"&gt;=360",veri!I:I,"&lt;361")</f>
        <v>0</v>
      </c>
      <c r="BI9" s="123">
        <f>COUNTIFS(veri!G:G,84,veri!I:I,"&gt;=360",veri!I:I,"&lt;361")</f>
        <v>0</v>
      </c>
      <c r="BJ9" s="123">
        <f>COUNTIFS(veri!G:G,85,veri!I:I,"&gt;=360",veri!I:I,"&lt;361")</f>
        <v>0</v>
      </c>
      <c r="BK9" s="123">
        <f>COUNTIFS(veri!G:G,86,veri!I:I,"&gt;=360",veri!I:I,"&lt;361")</f>
        <v>0</v>
      </c>
      <c r="BL9" s="123">
        <f>COUNTIFS(veri!G:G,87,veri!I:I,"&gt;=360",veri!I:I,"&lt;361")</f>
        <v>0</v>
      </c>
      <c r="BM9" s="123">
        <f>COUNTIFS(veri!G:G,88,veri!I:I,"&gt;=360",veri!I:I,"&lt;361")</f>
        <v>0</v>
      </c>
      <c r="BN9" s="123">
        <f>COUNTIFS(veri!G:G,89,veri!I:I,"&gt;=360",veri!I:I,"&lt;361")</f>
        <v>0</v>
      </c>
      <c r="BO9" s="123">
        <f>COUNTIFS(veri!G:G,90,veri!I:I,"&gt;=360",veri!I:I,"&lt;361")</f>
        <v>0</v>
      </c>
      <c r="BP9" s="123">
        <f>COUNTIFS(veri!G:G,91,veri!I:I,"&gt;=360",veri!I:I,"&lt;361")</f>
        <v>0</v>
      </c>
      <c r="BQ9" s="123">
        <f>COUNTIFS(veri!G:G,92,veri!I:I,"&gt;=360",veri!I:I,"&lt;361")</f>
        <v>0</v>
      </c>
      <c r="BR9" s="123">
        <f>COUNTIFS(veri!G:G,93,veri!I:I,"&gt;=360",veri!I:I,"&lt;361")</f>
        <v>0</v>
      </c>
      <c r="BS9" s="123">
        <f>COUNTIFS(veri!G:G,94,veri!I:I,"&gt;=360",veri!I:I,"&lt;361")</f>
        <v>0</v>
      </c>
      <c r="BT9" s="123">
        <f>COUNTIFS(veri!G:G,95,veri!I:I,"&gt;=360",veri!I:I,"&lt;361")</f>
        <v>0</v>
      </c>
      <c r="BU9" s="123">
        <f>COUNTIFS(veri!G:G,96,veri!I:I,"&gt;=360",veri!I:I,"&lt;361")</f>
        <v>0</v>
      </c>
      <c r="BV9" s="123">
        <f>COUNTIFS(veri!G:G,97,veri!I:I,"&gt;=360",veri!I:I,"&lt;361")</f>
        <v>0</v>
      </c>
      <c r="BW9" s="123">
        <f>COUNTIFS(veri!G:G,98,veri!I:I,"&gt;=360",veri!I:I,"&lt;361")</f>
        <v>0</v>
      </c>
      <c r="BX9" s="123">
        <f>COUNTIFS(veri!G:G,99,veri!I:I,"&gt;=360",veri!I:I,"&lt;361")</f>
        <v>0</v>
      </c>
      <c r="BY9" s="123">
        <f>COUNTIFS(veri!G:G,100,veri!I:I,"&gt;=360",veri!I:I,"&lt;361")</f>
        <v>0</v>
      </c>
      <c r="BZ9" s="123">
        <f>COUNTIFS(veri!G:G,101,veri!I:I,"&gt;=360",veri!I:I,"&lt;361")</f>
        <v>0</v>
      </c>
      <c r="CA9" s="123">
        <f>COUNTIFS(veri!G:G,102,veri!I:I,"&gt;=360",veri!I:I,"&lt;361")</f>
        <v>0</v>
      </c>
      <c r="CB9" s="123">
        <f>COUNTIFS(veri!G:G,103,veri!I:I,"&gt;=360",veri!I:I,"&lt;361")</f>
        <v>0</v>
      </c>
      <c r="CC9" s="123">
        <f>COUNTIFS(veri!G:G,104,veri!I:I,"&gt;=360",veri!I:I,"&lt;361")</f>
        <v>0</v>
      </c>
      <c r="CD9" s="123">
        <f>COUNTIFS(veri!G:G,105,veri!I:I,"&gt;=360",veri!I:I,"&lt;361")</f>
        <v>0</v>
      </c>
      <c r="CE9" s="121">
        <f t="shared" si="0"/>
        <v>0</v>
      </c>
      <c r="CF9" s="14"/>
      <c r="CG9" s="14"/>
      <c r="CH9" s="14"/>
      <c r="CI9" s="14"/>
      <c r="CJ9" s="14"/>
      <c r="CK9" s="14"/>
    </row>
    <row r="10" spans="1:89" ht="13.5" customHeight="1" x14ac:dyDescent="0.15">
      <c r="A10" s="120" t="s">
        <v>951</v>
      </c>
      <c r="B10" s="116">
        <f>COUNTIFS(veri!G:G,1,veri!I:I,"&gt;=370",veri!I:I,"&lt;371")</f>
        <v>0</v>
      </c>
      <c r="C10" s="116">
        <f>COUNTIFS(veri!G:G,2,veri!I:I,"&gt;=370",veri!I:I,"&lt;371")</f>
        <v>0</v>
      </c>
      <c r="D10" s="116">
        <f>COUNTIFS(veri!G:G,3,veri!I:I,"&gt;=370",veri!I:I,"&lt;371")</f>
        <v>0</v>
      </c>
      <c r="E10" s="116">
        <f>COUNTIFS(veri!G:G,4,veri!I:I,"&gt;=370",veri!I:I,"&lt;371")</f>
        <v>0</v>
      </c>
      <c r="F10" s="116">
        <f>COUNTIFS(veri!G:G,5,veri!I:I,"&gt;=370",veri!I:I,"&lt;371")</f>
        <v>0</v>
      </c>
      <c r="G10" s="116">
        <f>COUNTIFS(veri!G:G,6,veri!I:I,"&gt;=370",veri!I:I,"&lt;371")</f>
        <v>0</v>
      </c>
      <c r="H10" s="116">
        <f>COUNTIFS(veri!G:G,7,veri!I:I,"&gt;=370",veri!I:I,"&lt;371")</f>
        <v>0</v>
      </c>
      <c r="I10" s="116">
        <f>COUNTIFS(veri!G:G,8,veri!I:I,"&gt;=370",veri!I:I,"&lt;371")</f>
        <v>0</v>
      </c>
      <c r="J10" s="116">
        <f>COUNTIFS(veri!G:G,9,veri!I:I,"&gt;=370",veri!I:I,"&lt;371")</f>
        <v>0</v>
      </c>
      <c r="K10" s="116">
        <f>COUNTIFS(veri!G:G,10,veri!I:I,"&gt;=370",veri!I:I,"&lt;371")</f>
        <v>0</v>
      </c>
      <c r="L10" s="116">
        <f>COUNTIFS(veri!G:G,11,veri!I:I,"&gt;=370",veri!I:I,"&lt;371")</f>
        <v>0</v>
      </c>
      <c r="M10" s="116">
        <f>COUNTIFS(veri!G:G,12,veri!I:I,"&gt;=370",veri!I:I,"&lt;371")</f>
        <v>0</v>
      </c>
      <c r="N10" s="116">
        <f>COUNTIFS(veri!G:G,13,veri!I:I,"&gt;=370",veri!I:I,"&lt;371")</f>
        <v>0</v>
      </c>
      <c r="O10" s="116">
        <f>COUNTIFS(veri!G:G,14,veri!I:I,"&gt;=370",veri!I:I,"&lt;371")</f>
        <v>0</v>
      </c>
      <c r="P10" s="116">
        <f>COUNTIFS(veri!G:G,15,veri!I:I,"&gt;=370",veri!I:I,"&lt;371")</f>
        <v>0</v>
      </c>
      <c r="Q10" s="116">
        <f>COUNTIFS(veri!G:G,16,veri!I:I,"&gt;=370",veri!I:I,"&lt;371")</f>
        <v>0</v>
      </c>
      <c r="R10" s="116">
        <f>COUNTIFS(veri!G:G,17,veri!I:I,"&gt;=370",veri!I:I,"&lt;371")</f>
        <v>0</v>
      </c>
      <c r="S10" s="116">
        <f>COUNTIFS(veri!G:G,18,veri!I:I,"&gt;=370",veri!I:I,"&lt;371")</f>
        <v>0</v>
      </c>
      <c r="T10" s="116">
        <f>COUNTIFS(veri!G:G,19,veri!I:I,"&gt;=370",veri!I:I,"&lt;371")</f>
        <v>0</v>
      </c>
      <c r="U10" s="116">
        <f>COUNTIFS(veri!G:G,20,veri!I:I,"&gt;=370",veri!I:I,"&lt;371")</f>
        <v>0</v>
      </c>
      <c r="V10" s="116">
        <f>COUNTIFS(veri!G:G,21,veri!I:I,"&gt;=370",veri!I:I,"&lt;371")</f>
        <v>0</v>
      </c>
      <c r="W10" s="116">
        <f>COUNTIFS(veri!G:G,22,veri!I:I,"&gt;=370",veri!I:I,"&lt;371")</f>
        <v>0</v>
      </c>
      <c r="X10" s="116">
        <f>COUNTIFS(veri!G:G,23,veri!I:I,"&gt;=370",veri!I:I,"&lt;371")</f>
        <v>0</v>
      </c>
      <c r="Y10" s="116">
        <f>COUNTIFS(veri!G:G,24,veri!I:I,"&gt;=370",veri!I:I,"&lt;371")</f>
        <v>0</v>
      </c>
      <c r="Z10" s="116">
        <f>COUNTIFS(veri!G:G,25,veri!I:I,"&gt;=370",veri!I:I,"&lt;371")</f>
        <v>0</v>
      </c>
      <c r="AA10" s="116">
        <f>COUNTIFS(veri!G:G,26,veri!I:I,"&gt;=370",veri!I:I,"&lt;371")</f>
        <v>0</v>
      </c>
      <c r="AB10" s="116">
        <f>COUNTIFS(veri!G:G,51,veri!I:I,"&gt;=370",veri!I:I,"&lt;371")</f>
        <v>0</v>
      </c>
      <c r="AC10" s="116">
        <f>COUNTIFS(veri!G:G,52,veri!I:I,"&gt;=370",veri!I:I,"&lt;371")</f>
        <v>0</v>
      </c>
      <c r="AD10" s="116">
        <f>COUNTIFS(veri!G:G,53,veri!I:I,"&gt;=370",veri!I:I,"&lt;371")</f>
        <v>0</v>
      </c>
      <c r="AE10" s="116">
        <f>COUNTIFS(veri!G:G,54,veri!I:I,"&gt;=370",veri!I:I,"&lt;371")</f>
        <v>0</v>
      </c>
      <c r="AF10" s="116">
        <f>COUNTIFS(veri!G:G,55,veri!I:I,"&gt;=370",veri!I:I,"&lt;371")</f>
        <v>0</v>
      </c>
      <c r="AG10" s="116">
        <f>COUNTIFS(veri!G:G,56,veri!I:I,"&gt;=370",veri!I:I,"&lt;371")</f>
        <v>0</v>
      </c>
      <c r="AH10" s="116">
        <f>COUNTIFS(veri!G:G,57,veri!I:I,"&gt;=370",veri!I:I,"&lt;371")</f>
        <v>0</v>
      </c>
      <c r="AI10" s="127">
        <f>COUNTIFS(veri!G:G,58,veri!I:I,"&gt;=370",veri!I:I,"&lt;371")</f>
        <v>0</v>
      </c>
      <c r="AJ10" s="116">
        <f>COUNTIFS(veri!G:G,59,veri!I:I,"&gt;=370",veri!I:I,"&lt;371")</f>
        <v>0</v>
      </c>
      <c r="AK10" s="116">
        <f>COUNTIFS(veri!G:G,60,veri!I:I,"&gt;=370",veri!I:I,"&lt;371")</f>
        <v>0</v>
      </c>
      <c r="AL10" s="116">
        <f>COUNTIFS(veri!G:G,61,veri!I:I,"&gt;=370",veri!I:I,"&lt;371")</f>
        <v>0</v>
      </c>
      <c r="AM10" s="116">
        <f>COUNTIFS(veri!G:G,62,veri!I:I,"&gt;=370",veri!I:I,"&lt;371")</f>
        <v>0</v>
      </c>
      <c r="AN10" s="116">
        <f>COUNTIFS(veri!G:G,63,veri!I:I,"&gt;=370",veri!I:I,"&lt;371")</f>
        <v>0</v>
      </c>
      <c r="AO10" s="116">
        <f>COUNTIFS(veri!G:G,64,veri!I:I,"&gt;=370",veri!I:I,"&lt;371")</f>
        <v>0</v>
      </c>
      <c r="AP10" s="116">
        <f>COUNTIFS(veri!G:G,65,veri!I:I,"&gt;=370",veri!I:I,"&lt;371")</f>
        <v>0</v>
      </c>
      <c r="AQ10" s="116">
        <f>COUNTIFS(veri!G:G,66,veri!I:I,"&gt;=370",veri!I:I,"&lt;371")</f>
        <v>0</v>
      </c>
      <c r="AR10" s="116">
        <f>COUNTIFS(veri!G:G,67,veri!I:I,"&gt;=370",veri!I:I,"&lt;371")</f>
        <v>0</v>
      </c>
      <c r="AS10" s="116">
        <f>COUNTIFS(veri!G:G,68,veri!I:I,"&gt;=370",veri!I:I,"&lt;371")</f>
        <v>0</v>
      </c>
      <c r="AT10" s="116">
        <f>COUNTIFS(veri!G:G,69,veri!I:I,"&gt;=370",veri!I:I,"&lt;371")</f>
        <v>0</v>
      </c>
      <c r="AU10" s="116">
        <f>COUNTIFS(veri!G:G,70,veri!I:I,"&gt;=370",veri!I:I,"&lt;371")</f>
        <v>0</v>
      </c>
      <c r="AV10" s="116">
        <f>COUNTIFS(veri!G:G,71,veri!I:I,"&gt;=370",veri!I:I,"&lt;371")</f>
        <v>0</v>
      </c>
      <c r="AW10" s="116">
        <f>COUNTIFS(veri!G:G,72,veri!I:I,"&gt;=370",veri!I:I,"&lt;371")</f>
        <v>0</v>
      </c>
      <c r="AX10" s="116">
        <f>COUNTIFS(veri!G:G,73,veri!I:I,"&gt;=370",veri!I:I,"&lt;371")</f>
        <v>0</v>
      </c>
      <c r="AY10" s="116">
        <f>COUNTIFS(veri!G:G,74,veri!I:I,"&gt;=370",veri!I:I,"&lt;371")</f>
        <v>0</v>
      </c>
      <c r="AZ10" s="116">
        <f>COUNTIFS(veri!G:G,75,veri!I:I,"&gt;=370",veri!I:I,"&lt;371")</f>
        <v>0</v>
      </c>
      <c r="BA10" s="116">
        <f>COUNTIFS(veri!G:G,76,veri!I:I,"&gt;=370",veri!I:I,"&lt;371")</f>
        <v>0</v>
      </c>
      <c r="BB10" s="116">
        <f>COUNTIFS(veri!G:G,77,veri!I:I,"&gt;=370",veri!I:I,"&lt;371")</f>
        <v>0</v>
      </c>
      <c r="BC10" s="116">
        <f>COUNTIFS(veri!G:G,78,veri!I:I,"&gt;=370",veri!I:I,"&lt;371")</f>
        <v>0</v>
      </c>
      <c r="BD10" s="116">
        <f>COUNTIFS(veri!G:G,79,veri!I:I,"&gt;=370",veri!I:I,"&lt;371")</f>
        <v>0</v>
      </c>
      <c r="BE10" s="116">
        <f>COUNTIFS(veri!G:G,80,veri!I:I,"&gt;=370",veri!I:I,"&lt;371")</f>
        <v>0</v>
      </c>
      <c r="BF10" s="116">
        <f>COUNTIFS(veri!G:G,81,veri!I:I,"&gt;=370",veri!I:I,"&lt;371")</f>
        <v>0</v>
      </c>
      <c r="BG10" s="116">
        <f>COUNTIFS(veri!G:G,82,veri!I:I,"&gt;=370",veri!I:I,"&lt;371")</f>
        <v>0</v>
      </c>
      <c r="BH10" s="116">
        <f>COUNTIFS(veri!G:G,83,veri!I:I,"&gt;=370",veri!I:I,"&lt;371")</f>
        <v>0</v>
      </c>
      <c r="BI10" s="116">
        <f>COUNTIFS(veri!G:G,84,veri!I:I,"&gt;=370",veri!I:I,"&lt;371")</f>
        <v>0</v>
      </c>
      <c r="BJ10" s="116">
        <f>COUNTIFS(veri!G:G,85,veri!I:I,"&gt;=370",veri!I:I,"&lt;371")</f>
        <v>0</v>
      </c>
      <c r="BK10" s="116">
        <f>COUNTIFS(veri!G:G,86,veri!I:I,"&gt;=370",veri!I:I,"&lt;371")</f>
        <v>0</v>
      </c>
      <c r="BL10" s="116">
        <f>COUNTIFS(veri!G:G,87,veri!I:I,"&gt;=370",veri!I:I,"&lt;371")</f>
        <v>0</v>
      </c>
      <c r="BM10" s="116">
        <f>COUNTIFS(veri!G:G,88,veri!I:I,"&gt;=370",veri!I:I,"&lt;371")</f>
        <v>0</v>
      </c>
      <c r="BN10" s="116">
        <f>COUNTIFS(veri!G:G,89,veri!I:I,"&gt;=370",veri!I:I,"&lt;371")</f>
        <v>0</v>
      </c>
      <c r="BO10" s="116">
        <f>COUNTIFS(veri!G:G,90,veri!I:I,"&gt;=370",veri!I:I,"&lt;371")</f>
        <v>0</v>
      </c>
      <c r="BP10" s="116">
        <f>COUNTIFS(veri!G:G,91,veri!I:I,"&gt;=370",veri!I:I,"&lt;371")</f>
        <v>0</v>
      </c>
      <c r="BQ10" s="116">
        <f>COUNTIFS(veri!G:G,92,veri!I:I,"&gt;=370",veri!I:I,"&lt;371")</f>
        <v>0</v>
      </c>
      <c r="BR10" s="116">
        <f>COUNTIFS(veri!G:G,93,veri!I:I,"&gt;=370",veri!I:I,"&lt;371")</f>
        <v>0</v>
      </c>
      <c r="BS10" s="116">
        <f>COUNTIFS(veri!G:G,94,veri!I:I,"&gt;=370",veri!I:I,"&lt;371")</f>
        <v>0</v>
      </c>
      <c r="BT10" s="116">
        <f>COUNTIFS(veri!G:G,95,veri!I:I,"&gt;=370",veri!I:I,"&lt;371")</f>
        <v>0</v>
      </c>
      <c r="BU10" s="116">
        <f>COUNTIFS(veri!G:G,96,veri!I:I,"&gt;=370",veri!I:I,"&lt;371")</f>
        <v>0</v>
      </c>
      <c r="BV10" s="116">
        <f>COUNTIFS(veri!G:G,97,veri!I:I,"&gt;=370",veri!I:I,"&lt;371")</f>
        <v>0</v>
      </c>
      <c r="BW10" s="116">
        <f>COUNTIFS(veri!G:G,98,veri!I:I,"&gt;=370",veri!I:I,"&lt;371")</f>
        <v>0</v>
      </c>
      <c r="BX10" s="116">
        <f>COUNTIFS(veri!G:G,99,veri!I:I,"&gt;=370",veri!I:I,"&lt;371")</f>
        <v>0</v>
      </c>
      <c r="BY10" s="116">
        <f>COUNTIFS(veri!G:G,100,veri!I:I,"&gt;=370",veri!I:I,"&lt;371")</f>
        <v>0</v>
      </c>
      <c r="BZ10" s="116">
        <f>COUNTIFS(veri!G:G,101,veri!I:I,"&gt;=370",veri!I:I,"&lt;371")</f>
        <v>0</v>
      </c>
      <c r="CA10" s="116">
        <f>COUNTIFS(veri!G:G,102,veri!I:I,"&gt;=370",veri!I:I,"&lt;371")</f>
        <v>0</v>
      </c>
      <c r="CB10" s="116">
        <f>COUNTIFS(veri!G:G,103,veri!I:I,"&gt;=370",veri!I:I,"&lt;371")</f>
        <v>0</v>
      </c>
      <c r="CC10" s="116">
        <f>COUNTIFS(veri!G:G,104,veri!I:I,"&gt;=370",veri!I:I,"&lt;371")</f>
        <v>0</v>
      </c>
      <c r="CD10" s="116">
        <f>COUNTIFS(veri!G:G,105,veri!I:I,"&gt;=370",veri!I:I,"&lt;371")</f>
        <v>0</v>
      </c>
      <c r="CE10" s="121">
        <f t="shared" si="0"/>
        <v>0</v>
      </c>
      <c r="CF10" s="14"/>
      <c r="CG10" s="14"/>
      <c r="CH10" s="14"/>
      <c r="CI10" s="14"/>
      <c r="CJ10" s="14"/>
      <c r="CK10" s="14"/>
    </row>
    <row r="11" spans="1:89" ht="13.5" customHeight="1" x14ac:dyDescent="0.15">
      <c r="A11" s="122" t="s">
        <v>544</v>
      </c>
      <c r="B11" s="123">
        <f>COUNTIFS(veri!G:G,1,veri!I:I,"&gt;=380",veri!I:I,"&lt;381")</f>
        <v>0</v>
      </c>
      <c r="C11" s="123">
        <f>COUNTIFS(veri!G:G,2,veri!I:I,"&gt;=380",veri!I:I,"&lt;381")</f>
        <v>0</v>
      </c>
      <c r="D11" s="123">
        <f>COUNTIFS(veri!G:G,3,veri!I:I,"&gt;=380",veri!I:I,"&lt;381")</f>
        <v>0</v>
      </c>
      <c r="E11" s="123">
        <f>COUNTIFS(veri!G:G,4,veri!I:I,"&gt;=380",veri!I:I,"&lt;381")</f>
        <v>0</v>
      </c>
      <c r="F11" s="123">
        <f>COUNTIFS(veri!G:G,5,veri!I:I,"&gt;=380",veri!I:I,"&lt;381")</f>
        <v>0</v>
      </c>
      <c r="G11" s="123">
        <f>COUNTIFS(veri!G:G,6,veri!I:I,"&gt;=380",veri!I:I,"&lt;381")</f>
        <v>0</v>
      </c>
      <c r="H11" s="123">
        <f>COUNTIFS(veri!G:G,7,veri!I:I,"&gt;=380",veri!I:I,"&lt;381")</f>
        <v>0</v>
      </c>
      <c r="I11" s="123">
        <f>COUNTIFS(veri!G:G,8,veri!I:I,"&gt;=380",veri!I:I,"&lt;381")</f>
        <v>0</v>
      </c>
      <c r="J11" s="123">
        <f>COUNTIFS(veri!G:G,9,veri!I:I,"&gt;=380",veri!I:I,"&lt;381")</f>
        <v>0</v>
      </c>
      <c r="K11" s="123">
        <f>COUNTIFS(veri!G:G,10,veri!I:I,"&gt;=380",veri!I:I,"&lt;381")</f>
        <v>0</v>
      </c>
      <c r="L11" s="123">
        <f>COUNTIFS(veri!G:G,11,veri!I:I,"&gt;=380",veri!I:I,"&lt;381")</f>
        <v>0</v>
      </c>
      <c r="M11" s="123">
        <f>COUNTIFS(veri!G:G,12,veri!I:I,"&gt;=380",veri!I:I,"&lt;381")</f>
        <v>0</v>
      </c>
      <c r="N11" s="123">
        <f>COUNTIFS(veri!G:G,13,veri!I:I,"&gt;=380",veri!I:I,"&lt;381")</f>
        <v>0</v>
      </c>
      <c r="O11" s="123">
        <f>COUNTIFS(veri!G:G,14,veri!I:I,"&gt;=380",veri!I:I,"&lt;381")</f>
        <v>0</v>
      </c>
      <c r="P11" s="123">
        <f>COUNTIFS(veri!G:G,15,veri!I:I,"&gt;=380",veri!I:I,"&lt;381")</f>
        <v>0</v>
      </c>
      <c r="Q11" s="123">
        <f>COUNTIFS(veri!G:G,16,veri!I:I,"&gt;=380",veri!I:I,"&lt;381")</f>
        <v>0</v>
      </c>
      <c r="R11" s="123">
        <f>COUNTIFS(veri!G:G,17,veri!I:I,"&gt;=380",veri!I:I,"&lt;381")</f>
        <v>0</v>
      </c>
      <c r="S11" s="123">
        <f>COUNTIFS(veri!G:G,18,veri!I:I,"&gt;=380",veri!I:I,"&lt;381")</f>
        <v>0</v>
      </c>
      <c r="T11" s="123">
        <f>COUNTIFS(veri!G:G,19,veri!I:I,"&gt;=380",veri!I:I,"&lt;381")</f>
        <v>0</v>
      </c>
      <c r="U11" s="123">
        <f>COUNTIFS(veri!G:G,20,veri!I:I,"&gt;=380",veri!I:I,"&lt;381")</f>
        <v>0</v>
      </c>
      <c r="V11" s="123">
        <f>COUNTIFS(veri!G:G,21,veri!I:I,"&gt;=380",veri!I:I,"&lt;381")</f>
        <v>0</v>
      </c>
      <c r="W11" s="123">
        <f>COUNTIFS(veri!G:G,22,veri!I:I,"&gt;=380",veri!I:I,"&lt;381")</f>
        <v>0</v>
      </c>
      <c r="X11" s="123">
        <f>COUNTIFS(veri!G:G,23,veri!I:I,"&gt;=380",veri!I:I,"&lt;381")</f>
        <v>0</v>
      </c>
      <c r="Y11" s="123">
        <f>COUNTIFS(veri!G:G,24,veri!I:I,"&gt;=380",veri!I:I,"&lt;381")</f>
        <v>0</v>
      </c>
      <c r="Z11" s="123">
        <f>COUNTIFS(veri!G:G,25,veri!I:I,"&gt;=380",veri!I:I,"&lt;381")</f>
        <v>0</v>
      </c>
      <c r="AA11" s="123">
        <f>COUNTIFS(veri!G:G,26,veri!I:I,"&gt;=380",veri!I:I,"&lt;381")</f>
        <v>0</v>
      </c>
      <c r="AB11" s="123">
        <f>COUNTIFS(veri!G:G,51,veri!I:I,"&gt;=380",veri!I:I,"&lt;381")</f>
        <v>0</v>
      </c>
      <c r="AC11" s="123">
        <f>COUNTIFS(veri!G:G,52,veri!I:I,"&gt;=380",veri!I:I,"&lt;381")</f>
        <v>0</v>
      </c>
      <c r="AD11" s="123">
        <f>COUNTIFS(veri!G:G,53,veri!I:I,"&gt;=380",veri!I:I,"&lt;381")</f>
        <v>0</v>
      </c>
      <c r="AE11" s="123">
        <f>COUNTIFS(veri!G:G,54,veri!I:I,"&gt;=380",veri!I:I,"&lt;381")</f>
        <v>0</v>
      </c>
      <c r="AF11" s="123">
        <f>COUNTIFS(veri!G:G,55,veri!I:I,"&gt;=380",veri!I:I,"&lt;381")</f>
        <v>0</v>
      </c>
      <c r="AG11" s="123">
        <f>COUNTIFS(veri!G:G,56,veri!I:I,"&gt;=380",veri!I:I,"&lt;381")</f>
        <v>0</v>
      </c>
      <c r="AH11" s="123">
        <f>COUNTIFS(veri!G:G,57,veri!I:I,"&gt;=380",veri!I:I,"&lt;381")</f>
        <v>0</v>
      </c>
      <c r="AI11" s="124">
        <f>COUNTIFS(veri!G:G,58,veri!I:I,"&gt;=380",veri!I:I,"&lt;381")</f>
        <v>0</v>
      </c>
      <c r="AJ11" s="123">
        <f>COUNTIFS(veri!G:G,59,veri!I:I,"&gt;=380",veri!I:I,"&lt;381")</f>
        <v>0</v>
      </c>
      <c r="AK11" s="123">
        <f>COUNTIFS(veri!G:G,60,veri!I:I,"&gt;=380",veri!I:I,"&lt;381")</f>
        <v>0</v>
      </c>
      <c r="AL11" s="123">
        <f>COUNTIFS(veri!G:G,61,veri!I:I,"&gt;=380",veri!I:I,"&lt;381")</f>
        <v>0</v>
      </c>
      <c r="AM11" s="123">
        <f>COUNTIFS(veri!G:G,62,veri!I:I,"&gt;=380",veri!I:I,"&lt;381")</f>
        <v>0</v>
      </c>
      <c r="AN11" s="123">
        <f>COUNTIFS(veri!G:G,63,veri!I:I,"&gt;=380",veri!I:I,"&lt;381")</f>
        <v>0</v>
      </c>
      <c r="AO11" s="123">
        <f>COUNTIFS(veri!G:G,64,veri!I:I,"&gt;=380",veri!I:I,"&lt;381")</f>
        <v>0</v>
      </c>
      <c r="AP11" s="123">
        <f>COUNTIFS(veri!G:G,65,veri!I:I,"&gt;=380",veri!I:I,"&lt;381")</f>
        <v>0</v>
      </c>
      <c r="AQ11" s="123">
        <f>COUNTIFS(veri!G:G,66,veri!I:I,"&gt;=380",veri!I:I,"&lt;381")</f>
        <v>0</v>
      </c>
      <c r="AR11" s="123">
        <f>COUNTIFS(veri!G:G,67,veri!I:I,"&gt;=380",veri!I:I,"&lt;381")</f>
        <v>0</v>
      </c>
      <c r="AS11" s="123">
        <f>COUNTIFS(veri!G:G,68,veri!I:I,"&gt;=380",veri!I:I,"&lt;381")</f>
        <v>0</v>
      </c>
      <c r="AT11" s="123">
        <f>COUNTIFS(veri!G:G,69,veri!I:I,"&gt;=380",veri!I:I,"&lt;381")</f>
        <v>0</v>
      </c>
      <c r="AU11" s="123">
        <f>COUNTIFS(veri!G:G,70,veri!I:I,"&gt;=380",veri!I:I,"&lt;381")</f>
        <v>0</v>
      </c>
      <c r="AV11" s="123">
        <f>COUNTIFS(veri!G:G,71,veri!I:I,"&gt;=380",veri!I:I,"&lt;381")</f>
        <v>0</v>
      </c>
      <c r="AW11" s="123">
        <f>COUNTIFS(veri!G:G,72,veri!I:I,"&gt;=380",veri!I:I,"&lt;381")</f>
        <v>0</v>
      </c>
      <c r="AX11" s="123">
        <f>COUNTIFS(veri!G:G,73,veri!I:I,"&gt;=380",veri!I:I,"&lt;381")</f>
        <v>0</v>
      </c>
      <c r="AY11" s="123">
        <f>COUNTIFS(veri!G:G,74,veri!I:I,"&gt;=380",veri!I:I,"&lt;381")</f>
        <v>0</v>
      </c>
      <c r="AZ11" s="123">
        <f>COUNTIFS(veri!G:G,75,veri!I:I,"&gt;=380",veri!I:I,"&lt;381")</f>
        <v>0</v>
      </c>
      <c r="BA11" s="123">
        <f>COUNTIFS(veri!G:G,76,veri!I:I,"&gt;=380",veri!I:I,"&lt;381")</f>
        <v>0</v>
      </c>
      <c r="BB11" s="123">
        <f>COUNTIFS(veri!G:G,77,veri!I:I,"&gt;=380",veri!I:I,"&lt;381")</f>
        <v>0</v>
      </c>
      <c r="BC11" s="123">
        <f>COUNTIFS(veri!G:G,78,veri!I:I,"&gt;=380",veri!I:I,"&lt;381")</f>
        <v>0</v>
      </c>
      <c r="BD11" s="123">
        <f>COUNTIFS(veri!G:G,79,veri!I:I,"&gt;=380",veri!I:I,"&lt;381")</f>
        <v>0</v>
      </c>
      <c r="BE11" s="123">
        <f>COUNTIFS(veri!G:G,80,veri!I:I,"&gt;=380",veri!I:I,"&lt;381")</f>
        <v>0</v>
      </c>
      <c r="BF11" s="123">
        <f>COUNTIFS(veri!G:G,81,veri!I:I,"&gt;=380",veri!I:I,"&lt;381")</f>
        <v>0</v>
      </c>
      <c r="BG11" s="123">
        <f>COUNTIFS(veri!G:G,82,veri!I:I,"&gt;=380",veri!I:I,"&lt;381")</f>
        <v>0</v>
      </c>
      <c r="BH11" s="123">
        <f>COUNTIFS(veri!G:G,83,veri!I:I,"&gt;=380",veri!I:I,"&lt;381")</f>
        <v>0</v>
      </c>
      <c r="BI11" s="123">
        <f>COUNTIFS(veri!G:G,84,veri!I:I,"&gt;=380",veri!I:I,"&lt;381")</f>
        <v>0</v>
      </c>
      <c r="BJ11" s="123">
        <f>COUNTIFS(veri!G:G,85,veri!I:I,"&gt;=380",veri!I:I,"&lt;381")</f>
        <v>0</v>
      </c>
      <c r="BK11" s="123">
        <f>COUNTIFS(veri!G:G,86,veri!I:I,"&gt;=380",veri!I:I,"&lt;381")</f>
        <v>0</v>
      </c>
      <c r="BL11" s="123">
        <f>COUNTIFS(veri!G:G,87,veri!I:I,"&gt;=380",veri!I:I,"&lt;381")</f>
        <v>0</v>
      </c>
      <c r="BM11" s="123">
        <f>COUNTIFS(veri!G:G,88,veri!I:I,"&gt;=380",veri!I:I,"&lt;381")</f>
        <v>0</v>
      </c>
      <c r="BN11" s="123">
        <f>COUNTIFS(veri!G:G,89,veri!I:I,"&gt;=380",veri!I:I,"&lt;381")</f>
        <v>0</v>
      </c>
      <c r="BO11" s="123">
        <f>COUNTIFS(veri!G:G,90,veri!I:I,"&gt;=380",veri!I:I,"&lt;381")</f>
        <v>0</v>
      </c>
      <c r="BP11" s="123">
        <f>COUNTIFS(veri!G:G,91,veri!I:I,"&gt;=380",veri!I:I,"&lt;381")</f>
        <v>0</v>
      </c>
      <c r="BQ11" s="123">
        <f>COUNTIFS(veri!G:G,92,veri!I:I,"&gt;=380",veri!I:I,"&lt;381")</f>
        <v>0</v>
      </c>
      <c r="BR11" s="123">
        <f>COUNTIFS(veri!G:G,93,veri!I:I,"&gt;=380",veri!I:I,"&lt;381")</f>
        <v>0</v>
      </c>
      <c r="BS11" s="123">
        <f>COUNTIFS(veri!G:G,94,veri!I:I,"&gt;=380",veri!I:I,"&lt;381")</f>
        <v>0</v>
      </c>
      <c r="BT11" s="123">
        <f>COUNTIFS(veri!G:G,95,veri!I:I,"&gt;=380",veri!I:I,"&lt;381")</f>
        <v>0</v>
      </c>
      <c r="BU11" s="123">
        <f>COUNTIFS(veri!G:G,96,veri!I:I,"&gt;=380",veri!I:I,"&lt;381")</f>
        <v>1</v>
      </c>
      <c r="BV11" s="123">
        <f>COUNTIFS(veri!G:G,97,veri!I:I,"&gt;=380",veri!I:I,"&lt;381")</f>
        <v>0</v>
      </c>
      <c r="BW11" s="123">
        <f>COUNTIFS(veri!G:G,98,veri!I:I,"&gt;=380",veri!I:I,"&lt;381")</f>
        <v>0</v>
      </c>
      <c r="BX11" s="123">
        <f>COUNTIFS(veri!G:G,99,veri!I:I,"&gt;=380",veri!I:I,"&lt;381")</f>
        <v>0</v>
      </c>
      <c r="BY11" s="123">
        <f>COUNTIFS(veri!G:G,100,veri!I:I,"&gt;=380",veri!I:I,"&lt;381")</f>
        <v>0</v>
      </c>
      <c r="BZ11" s="123">
        <f>COUNTIFS(veri!G:G,101,veri!I:I,"&gt;=380",veri!I:I,"&lt;381")</f>
        <v>0</v>
      </c>
      <c r="CA11" s="123">
        <f>COUNTIFS(veri!G:G,102,veri!I:I,"&gt;=380",veri!I:I,"&lt;381")</f>
        <v>0</v>
      </c>
      <c r="CB11" s="123">
        <f>COUNTIFS(veri!G:G,103,veri!I:I,"&gt;=380",veri!I:I,"&lt;381")</f>
        <v>0</v>
      </c>
      <c r="CC11" s="123">
        <f>COUNTIFS(veri!G:G,104,veri!I:I,"&gt;=380",veri!I:I,"&lt;381")</f>
        <v>0</v>
      </c>
      <c r="CD11" s="123">
        <f>COUNTIFS(veri!G:G,105,veri!I:I,"&gt;=380",veri!I:I,"&lt;381")</f>
        <v>0</v>
      </c>
      <c r="CE11" s="121">
        <f t="shared" si="0"/>
        <v>1</v>
      </c>
      <c r="CF11" s="14"/>
      <c r="CG11" s="14"/>
      <c r="CH11" s="14"/>
      <c r="CI11" s="14"/>
      <c r="CJ11" s="14"/>
      <c r="CK11" s="14"/>
    </row>
    <row r="12" spans="1:89" ht="13.5" customHeight="1" x14ac:dyDescent="0.15">
      <c r="A12" s="125" t="s">
        <v>113</v>
      </c>
      <c r="B12" s="121">
        <f t="shared" ref="B12:AG12" si="1">SUM(B4:B11)</f>
        <v>0</v>
      </c>
      <c r="C12" s="121">
        <f t="shared" si="1"/>
        <v>0</v>
      </c>
      <c r="D12" s="121">
        <f t="shared" si="1"/>
        <v>0</v>
      </c>
      <c r="E12" s="121">
        <f t="shared" si="1"/>
        <v>0</v>
      </c>
      <c r="F12" s="121">
        <f t="shared" si="1"/>
        <v>0</v>
      </c>
      <c r="G12" s="121">
        <f t="shared" si="1"/>
        <v>0</v>
      </c>
      <c r="H12" s="121">
        <f t="shared" si="1"/>
        <v>0</v>
      </c>
      <c r="I12" s="121">
        <f t="shared" si="1"/>
        <v>0</v>
      </c>
      <c r="J12" s="121">
        <f t="shared" si="1"/>
        <v>0</v>
      </c>
      <c r="K12" s="121">
        <f t="shared" si="1"/>
        <v>0</v>
      </c>
      <c r="L12" s="121">
        <f t="shared" si="1"/>
        <v>0</v>
      </c>
      <c r="M12" s="121">
        <f t="shared" si="1"/>
        <v>0</v>
      </c>
      <c r="N12" s="121">
        <f t="shared" si="1"/>
        <v>0</v>
      </c>
      <c r="O12" s="121">
        <f t="shared" si="1"/>
        <v>0</v>
      </c>
      <c r="P12" s="121">
        <f t="shared" si="1"/>
        <v>0</v>
      </c>
      <c r="Q12" s="121">
        <f t="shared" si="1"/>
        <v>0</v>
      </c>
      <c r="R12" s="121">
        <f t="shared" si="1"/>
        <v>0</v>
      </c>
      <c r="S12" s="121">
        <f t="shared" si="1"/>
        <v>0</v>
      </c>
      <c r="T12" s="121">
        <f t="shared" si="1"/>
        <v>0</v>
      </c>
      <c r="U12" s="121">
        <f t="shared" si="1"/>
        <v>0</v>
      </c>
      <c r="V12" s="121">
        <f t="shared" si="1"/>
        <v>0</v>
      </c>
      <c r="W12" s="121">
        <f t="shared" si="1"/>
        <v>0</v>
      </c>
      <c r="X12" s="121">
        <f t="shared" si="1"/>
        <v>0</v>
      </c>
      <c r="Y12" s="121">
        <f t="shared" si="1"/>
        <v>0</v>
      </c>
      <c r="Z12" s="121">
        <f t="shared" si="1"/>
        <v>0</v>
      </c>
      <c r="AA12" s="121">
        <f t="shared" si="1"/>
        <v>0</v>
      </c>
      <c r="AB12" s="121">
        <f t="shared" si="1"/>
        <v>0</v>
      </c>
      <c r="AC12" s="121">
        <f t="shared" si="1"/>
        <v>0</v>
      </c>
      <c r="AD12" s="121">
        <f t="shared" si="1"/>
        <v>0</v>
      </c>
      <c r="AE12" s="121">
        <f t="shared" si="1"/>
        <v>0</v>
      </c>
      <c r="AF12" s="121">
        <f t="shared" si="1"/>
        <v>1</v>
      </c>
      <c r="AG12" s="121">
        <f t="shared" si="1"/>
        <v>0</v>
      </c>
      <c r="AH12" s="121">
        <f t="shared" ref="AH12:BM12" si="2">SUM(AH4:AH11)</f>
        <v>0</v>
      </c>
      <c r="AI12" s="142">
        <f t="shared" si="2"/>
        <v>0</v>
      </c>
      <c r="AJ12" s="121">
        <f t="shared" si="2"/>
        <v>1</v>
      </c>
      <c r="AK12" s="121">
        <f t="shared" si="2"/>
        <v>0</v>
      </c>
      <c r="AL12" s="121">
        <f t="shared" si="2"/>
        <v>0</v>
      </c>
      <c r="AM12" s="121">
        <f t="shared" si="2"/>
        <v>0</v>
      </c>
      <c r="AN12" s="121">
        <f t="shared" si="2"/>
        <v>0</v>
      </c>
      <c r="AO12" s="121">
        <f t="shared" si="2"/>
        <v>0</v>
      </c>
      <c r="AP12" s="121">
        <f t="shared" si="2"/>
        <v>0</v>
      </c>
      <c r="AQ12" s="121">
        <f t="shared" si="2"/>
        <v>0</v>
      </c>
      <c r="AR12" s="121">
        <f t="shared" si="2"/>
        <v>0</v>
      </c>
      <c r="AS12" s="121">
        <f t="shared" si="2"/>
        <v>0</v>
      </c>
      <c r="AT12" s="121">
        <f t="shared" si="2"/>
        <v>0</v>
      </c>
      <c r="AU12" s="121">
        <f t="shared" si="2"/>
        <v>0</v>
      </c>
      <c r="AV12" s="121">
        <f t="shared" si="2"/>
        <v>0</v>
      </c>
      <c r="AW12" s="121">
        <f t="shared" si="2"/>
        <v>0</v>
      </c>
      <c r="AX12" s="121">
        <f t="shared" si="2"/>
        <v>0</v>
      </c>
      <c r="AY12" s="121">
        <f t="shared" si="2"/>
        <v>0</v>
      </c>
      <c r="AZ12" s="121">
        <f t="shared" si="2"/>
        <v>0</v>
      </c>
      <c r="BA12" s="121">
        <f t="shared" si="2"/>
        <v>0</v>
      </c>
      <c r="BB12" s="121">
        <f t="shared" si="2"/>
        <v>0</v>
      </c>
      <c r="BC12" s="121">
        <f t="shared" si="2"/>
        <v>0</v>
      </c>
      <c r="BD12" s="121">
        <f t="shared" si="2"/>
        <v>0</v>
      </c>
      <c r="BE12" s="121">
        <f t="shared" si="2"/>
        <v>0</v>
      </c>
      <c r="BF12" s="121">
        <f t="shared" si="2"/>
        <v>0</v>
      </c>
      <c r="BG12" s="121">
        <f t="shared" si="2"/>
        <v>0</v>
      </c>
      <c r="BH12" s="121">
        <f t="shared" si="2"/>
        <v>0</v>
      </c>
      <c r="BI12" s="121">
        <f t="shared" si="2"/>
        <v>0</v>
      </c>
      <c r="BJ12" s="121">
        <f t="shared" si="2"/>
        <v>0</v>
      </c>
      <c r="BK12" s="121">
        <f t="shared" si="2"/>
        <v>0</v>
      </c>
      <c r="BL12" s="121">
        <f t="shared" si="2"/>
        <v>0</v>
      </c>
      <c r="BM12" s="121">
        <f t="shared" si="2"/>
        <v>0</v>
      </c>
      <c r="BN12" s="121">
        <f t="shared" ref="BN12:CE12" si="3">SUM(BN4:BN11)</f>
        <v>0</v>
      </c>
      <c r="BO12" s="121">
        <f t="shared" si="3"/>
        <v>0</v>
      </c>
      <c r="BP12" s="121">
        <f t="shared" si="3"/>
        <v>0</v>
      </c>
      <c r="BQ12" s="121">
        <f t="shared" si="3"/>
        <v>0</v>
      </c>
      <c r="BR12" s="121">
        <f t="shared" si="3"/>
        <v>0</v>
      </c>
      <c r="BS12" s="121">
        <f t="shared" si="3"/>
        <v>0</v>
      </c>
      <c r="BT12" s="121">
        <f t="shared" si="3"/>
        <v>0</v>
      </c>
      <c r="BU12" s="121">
        <f t="shared" si="3"/>
        <v>1</v>
      </c>
      <c r="BV12" s="121">
        <f t="shared" si="3"/>
        <v>0</v>
      </c>
      <c r="BW12" s="121">
        <f t="shared" si="3"/>
        <v>0</v>
      </c>
      <c r="BX12" s="121">
        <f t="shared" si="3"/>
        <v>0</v>
      </c>
      <c r="BY12" s="121">
        <f t="shared" si="3"/>
        <v>0</v>
      </c>
      <c r="BZ12" s="121">
        <f t="shared" si="3"/>
        <v>0</v>
      </c>
      <c r="CA12" s="121">
        <f t="shared" si="3"/>
        <v>0</v>
      </c>
      <c r="CB12" s="121">
        <f t="shared" si="3"/>
        <v>0</v>
      </c>
      <c r="CC12" s="121">
        <f t="shared" si="3"/>
        <v>0</v>
      </c>
      <c r="CD12" s="121">
        <f t="shared" si="3"/>
        <v>0</v>
      </c>
      <c r="CE12" s="121">
        <f t="shared" si="3"/>
        <v>3</v>
      </c>
      <c r="CF12" s="14"/>
      <c r="CG12" s="14"/>
      <c r="CH12" s="14"/>
      <c r="CI12" s="14"/>
      <c r="CJ12" s="14"/>
      <c r="CK12" s="14"/>
    </row>
    <row r="13" spans="1:89" ht="13.5" customHeight="1" x14ac:dyDescent="0.1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0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</row>
    <row r="14" spans="1:89" s="145" customFormat="1" ht="13.5" customHeight="1" x14ac:dyDescent="0.15">
      <c r="A14" s="143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</row>
    <row r="15" spans="1:89" ht="13.5" customHeight="1" x14ac:dyDescent="0.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</row>
    <row r="16" spans="1:89" ht="13.5" customHeight="1" x14ac:dyDescent="0.1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</row>
    <row r="17" spans="1:89" s="108" customFormat="1" ht="13.5" customHeight="1" x14ac:dyDescent="0.1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0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</row>
    <row r="18" spans="1:89" ht="13.5" customHeight="1" x14ac:dyDescent="0.1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</row>
    <row r="19" spans="1:89" ht="13.5" customHeight="1" x14ac:dyDescent="0.1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</row>
    <row r="20" spans="1:89" ht="13.5" customHeight="1" x14ac:dyDescent="0.1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</row>
    <row r="21" spans="1:89" ht="13.5" customHeight="1" x14ac:dyDescent="0.1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</row>
    <row r="22" spans="1:89" ht="13.5" customHeight="1" x14ac:dyDescent="0.1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</row>
    <row r="23" spans="1:89" ht="13.5" customHeight="1" x14ac:dyDescent="0.1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</row>
    <row r="24" spans="1:89" ht="13.5" customHeight="1" x14ac:dyDescent="0.1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</row>
    <row r="25" spans="1:89" ht="13.5" customHeight="1" x14ac:dyDescent="0.1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</row>
    <row r="26" spans="1:89" ht="13.5" customHeight="1" x14ac:dyDescent="0.1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</row>
    <row r="27" spans="1:89" ht="13.5" customHeight="1" x14ac:dyDescent="0.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</row>
    <row r="28" spans="1:89" ht="13.5" customHeight="1" x14ac:dyDescent="0.1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</row>
    <row r="29" spans="1:89" ht="13.5" customHeight="1" x14ac:dyDescent="0.1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</row>
    <row r="30" spans="1:89" ht="13.5" customHeight="1" x14ac:dyDescent="0.1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</row>
    <row r="31" spans="1:89" ht="13.5" customHeight="1" x14ac:dyDescent="0.1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</row>
    <row r="32" spans="1:89" ht="13.5" customHeight="1" x14ac:dyDescent="0.1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</row>
    <row r="33" spans="1:89" ht="13.5" customHeight="1" x14ac:dyDescent="0.1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</row>
    <row r="34" spans="1:89" ht="10.5" customHeight="1" x14ac:dyDescent="0.1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</row>
    <row r="35" spans="1:89" ht="10.5" customHeight="1" x14ac:dyDescent="0.1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</row>
    <row r="36" spans="1:89" ht="10.5" customHeight="1" x14ac:dyDescent="0.15">
      <c r="A36" s="14"/>
      <c r="B36" s="13"/>
      <c r="C36" s="13"/>
      <c r="D36" s="13"/>
      <c r="E36" s="13"/>
      <c r="F36" s="13"/>
      <c r="G36" s="13"/>
      <c r="H36" s="13"/>
      <c r="I36" s="13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</row>
    <row r="37" spans="1:89" ht="10.5" customHeight="1" x14ac:dyDescent="0.15">
      <c r="A37" s="14"/>
      <c r="B37" s="13"/>
      <c r="C37" s="13"/>
      <c r="D37" s="13"/>
      <c r="E37" s="13"/>
      <c r="F37" s="13"/>
      <c r="G37" s="13"/>
      <c r="H37" s="13"/>
      <c r="I37" s="13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</row>
    <row r="38" spans="1:89" ht="10.5" customHeight="1" x14ac:dyDescent="0.15">
      <c r="A38" s="14"/>
      <c r="B38" s="13"/>
      <c r="C38" s="13"/>
      <c r="D38" s="13"/>
      <c r="E38" s="13"/>
      <c r="F38" s="13"/>
      <c r="G38" s="13"/>
      <c r="H38" s="13"/>
      <c r="I38" s="13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</row>
    <row r="39" spans="1:89" ht="10.5" customHeight="1" x14ac:dyDescent="0.15">
      <c r="A39" s="14"/>
      <c r="B39" s="13"/>
      <c r="C39" s="13"/>
      <c r="D39" s="13"/>
      <c r="E39" s="13"/>
      <c r="F39" s="13"/>
      <c r="G39" s="13"/>
      <c r="H39" s="13"/>
      <c r="I39" s="13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</row>
    <row r="40" spans="1:89" ht="10.5" customHeight="1" x14ac:dyDescent="0.15">
      <c r="A40" s="14"/>
      <c r="B40" s="13"/>
      <c r="C40" s="13"/>
      <c r="D40" s="13"/>
      <c r="E40" s="13"/>
      <c r="F40" s="13"/>
      <c r="G40" s="13"/>
      <c r="H40" s="13"/>
      <c r="I40" s="13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</row>
    <row r="41" spans="1:89" ht="10.5" customHeight="1" x14ac:dyDescent="0.15">
      <c r="A41" s="14"/>
      <c r="B41" s="13"/>
      <c r="C41" s="13"/>
      <c r="D41" s="13"/>
      <c r="E41" s="13"/>
      <c r="F41" s="13"/>
      <c r="G41" s="13"/>
      <c r="H41" s="13"/>
      <c r="I41" s="13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</row>
    <row r="42" spans="1:89" ht="10.5" customHeight="1" x14ac:dyDescent="0.15">
      <c r="A42" s="14"/>
      <c r="B42" s="13"/>
      <c r="C42" s="13"/>
      <c r="D42" s="13"/>
      <c r="E42" s="13"/>
      <c r="F42" s="13"/>
      <c r="G42" s="13"/>
      <c r="H42" s="13"/>
      <c r="I42" s="13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</row>
    <row r="43" spans="1:89" ht="10.5" customHeight="1" x14ac:dyDescent="0.15">
      <c r="A43" s="14"/>
      <c r="B43" s="13"/>
      <c r="C43" s="13"/>
      <c r="D43" s="13"/>
      <c r="E43" s="13"/>
      <c r="F43" s="13"/>
      <c r="G43" s="13"/>
      <c r="H43" s="13"/>
      <c r="I43" s="13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</row>
    <row r="44" spans="1:89" ht="10.5" customHeight="1" x14ac:dyDescent="0.15">
      <c r="A44" s="14"/>
      <c r="B44" s="13"/>
      <c r="C44" s="13"/>
      <c r="D44" s="13"/>
      <c r="E44" s="13"/>
      <c r="F44" s="13"/>
      <c r="G44" s="13"/>
      <c r="H44" s="13"/>
      <c r="I44" s="13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</row>
    <row r="45" spans="1:89" ht="10.5" customHeight="1" x14ac:dyDescent="0.15">
      <c r="A45" s="14"/>
      <c r="B45" s="13"/>
      <c r="C45" s="13"/>
      <c r="D45" s="13"/>
      <c r="E45" s="13"/>
      <c r="F45" s="13"/>
      <c r="G45" s="13"/>
      <c r="H45" s="13"/>
      <c r="I45" s="13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</row>
    <row r="46" spans="1:89" ht="10.5" customHeight="1" x14ac:dyDescent="0.15">
      <c r="A46" s="14"/>
      <c r="B46" s="13"/>
      <c r="C46" s="13"/>
      <c r="D46" s="13"/>
      <c r="E46" s="13"/>
      <c r="F46" s="13"/>
      <c r="G46" s="13"/>
      <c r="H46" s="13"/>
      <c r="I46" s="13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</row>
    <row r="47" spans="1:89" ht="10.5" customHeight="1" x14ac:dyDescent="0.15">
      <c r="A47" s="14"/>
      <c r="B47" s="13"/>
      <c r="C47" s="13"/>
      <c r="D47" s="13"/>
      <c r="E47" s="13"/>
      <c r="F47" s="13"/>
      <c r="G47" s="13"/>
      <c r="H47" s="13"/>
      <c r="I47" s="13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</row>
    <row r="48" spans="1:89" ht="10.5" customHeight="1" x14ac:dyDescent="0.15">
      <c r="A48" s="14"/>
      <c r="B48" s="13"/>
      <c r="C48" s="13"/>
      <c r="D48" s="13"/>
      <c r="E48" s="13"/>
      <c r="F48" s="13"/>
      <c r="G48" s="13"/>
      <c r="H48" s="13"/>
      <c r="I48" s="13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</row>
    <row r="49" spans="1:89" ht="10.5" customHeight="1" x14ac:dyDescent="0.15">
      <c r="A49" s="14"/>
      <c r="B49" s="13"/>
      <c r="C49" s="13"/>
      <c r="D49" s="13"/>
      <c r="E49" s="13"/>
      <c r="F49" s="13"/>
      <c r="G49" s="13"/>
      <c r="H49" s="13"/>
      <c r="I49" s="13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</row>
    <row r="50" spans="1:89" ht="10.5" customHeight="1" x14ac:dyDescent="0.15">
      <c r="A50" s="14"/>
      <c r="B50" s="13"/>
      <c r="C50" s="13"/>
      <c r="D50" s="13"/>
      <c r="E50" s="13"/>
      <c r="F50" s="13"/>
      <c r="G50" s="13"/>
      <c r="H50" s="13"/>
      <c r="I50" s="1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</row>
    <row r="51" spans="1:89" ht="10.5" customHeight="1" x14ac:dyDescent="0.15">
      <c r="A51" s="14"/>
      <c r="B51" s="13"/>
      <c r="C51" s="13"/>
      <c r="D51" s="13"/>
      <c r="E51" s="13"/>
      <c r="F51" s="13"/>
      <c r="G51" s="13"/>
      <c r="H51" s="13"/>
      <c r="I51" s="1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</row>
    <row r="52" spans="1:89" ht="10.5" customHeight="1" x14ac:dyDescent="0.15">
      <c r="A52" s="14"/>
      <c r="B52" s="13"/>
      <c r="C52" s="13"/>
      <c r="D52" s="13"/>
      <c r="E52" s="13"/>
      <c r="F52" s="13"/>
      <c r="G52" s="13"/>
      <c r="H52" s="13"/>
      <c r="I52" s="1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</row>
    <row r="53" spans="1:89" ht="10.5" customHeight="1" x14ac:dyDescent="0.15">
      <c r="A53" s="14"/>
      <c r="B53" s="13"/>
      <c r="C53" s="13"/>
      <c r="D53" s="13"/>
      <c r="E53" s="13"/>
      <c r="F53" s="13"/>
      <c r="G53" s="13"/>
      <c r="H53" s="13"/>
      <c r="I53" s="13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</row>
    <row r="54" spans="1:89" ht="10.5" customHeight="1" x14ac:dyDescent="0.15">
      <c r="A54" s="14"/>
      <c r="B54" s="13"/>
      <c r="C54" s="13"/>
      <c r="D54" s="13"/>
      <c r="E54" s="13"/>
      <c r="F54" s="13"/>
      <c r="G54" s="13"/>
      <c r="H54" s="13"/>
      <c r="I54" s="13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</row>
    <row r="55" spans="1:89" ht="10.5" customHeight="1" x14ac:dyDescent="0.15">
      <c r="A55" s="14"/>
      <c r="B55" s="13"/>
      <c r="C55" s="13"/>
      <c r="D55" s="13"/>
      <c r="E55" s="13"/>
      <c r="F55" s="13"/>
      <c r="G55" s="13"/>
      <c r="H55" s="13"/>
      <c r="I55" s="13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</row>
    <row r="56" spans="1:89" ht="10.5" customHeight="1" x14ac:dyDescent="0.15">
      <c r="A56" s="14"/>
      <c r="B56" s="13"/>
      <c r="C56" s="13"/>
      <c r="D56" s="13"/>
      <c r="E56" s="13"/>
      <c r="F56" s="13"/>
      <c r="G56" s="13"/>
      <c r="H56" s="13"/>
      <c r="I56" s="13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</row>
    <row r="57" spans="1:89" ht="10.5" customHeight="1" x14ac:dyDescent="0.15">
      <c r="A57" s="14"/>
      <c r="B57" s="13"/>
      <c r="C57" s="13"/>
      <c r="D57" s="13"/>
      <c r="E57" s="13"/>
      <c r="F57" s="13"/>
      <c r="G57" s="13"/>
      <c r="H57" s="13"/>
      <c r="I57" s="13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</row>
    <row r="58" spans="1:89" ht="10.5" customHeight="1" x14ac:dyDescent="0.15">
      <c r="A58" s="14"/>
      <c r="B58" s="13"/>
      <c r="C58" s="13"/>
      <c r="D58" s="13"/>
      <c r="E58" s="13"/>
      <c r="F58" s="13"/>
      <c r="G58" s="13"/>
      <c r="H58" s="13"/>
      <c r="I58" s="13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</row>
    <row r="59" spans="1:89" ht="10.5" customHeight="1" x14ac:dyDescent="0.15">
      <c r="A59" s="14"/>
      <c r="B59" s="13"/>
      <c r="C59" s="13"/>
      <c r="D59" s="13"/>
      <c r="E59" s="13"/>
      <c r="F59" s="13"/>
      <c r="G59" s="13"/>
      <c r="H59" s="13"/>
      <c r="I59" s="13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</row>
    <row r="60" spans="1:89" ht="10.5" customHeight="1" x14ac:dyDescent="0.15">
      <c r="A60" s="14"/>
      <c r="B60" s="13"/>
      <c r="C60" s="13"/>
      <c r="D60" s="13"/>
      <c r="E60" s="13"/>
      <c r="F60" s="13"/>
      <c r="G60" s="13"/>
      <c r="H60" s="13"/>
      <c r="I60" s="13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</row>
    <row r="61" spans="1:89" ht="10.5" customHeight="1" x14ac:dyDescent="0.15">
      <c r="A61" s="14"/>
      <c r="B61" s="13"/>
      <c r="C61" s="13"/>
      <c r="D61" s="13"/>
      <c r="E61" s="13"/>
      <c r="F61" s="13"/>
      <c r="G61" s="13"/>
      <c r="H61" s="13"/>
      <c r="I61" s="13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</row>
    <row r="62" spans="1:89" ht="10.5" customHeight="1" x14ac:dyDescent="0.15">
      <c r="A62" s="14"/>
      <c r="B62" s="13"/>
      <c r="C62" s="13"/>
      <c r="D62" s="13"/>
      <c r="E62" s="13"/>
      <c r="F62" s="13"/>
      <c r="G62" s="13"/>
      <c r="H62" s="13"/>
      <c r="I62" s="13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</row>
    <row r="63" spans="1:89" ht="10.5" customHeight="1" x14ac:dyDescent="0.15">
      <c r="A63" s="14"/>
      <c r="B63" s="13"/>
      <c r="C63" s="13"/>
      <c r="D63" s="13"/>
      <c r="E63" s="13"/>
      <c r="F63" s="13"/>
      <c r="G63" s="13"/>
      <c r="H63" s="13"/>
      <c r="I63" s="13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</row>
    <row r="64" spans="1:89" ht="10.5" customHeight="1" x14ac:dyDescent="0.15">
      <c r="A64" s="14"/>
      <c r="B64" s="13"/>
      <c r="C64" s="13"/>
      <c r="D64" s="13"/>
      <c r="E64" s="13"/>
      <c r="F64" s="13"/>
      <c r="G64" s="13"/>
      <c r="H64" s="13"/>
      <c r="I64" s="13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</row>
    <row r="65" spans="1:89" ht="10.5" customHeight="1" x14ac:dyDescent="0.15">
      <c r="A65" s="14"/>
      <c r="B65" s="13"/>
      <c r="C65" s="13"/>
      <c r="D65" s="13"/>
      <c r="E65" s="13"/>
      <c r="F65" s="13"/>
      <c r="G65" s="13"/>
      <c r="H65" s="13"/>
      <c r="I65" s="13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</row>
    <row r="66" spans="1:89" ht="10.5" customHeight="1" x14ac:dyDescent="0.15">
      <c r="A66" s="14"/>
      <c r="B66" s="13"/>
      <c r="C66" s="13"/>
      <c r="D66" s="13"/>
      <c r="E66" s="13"/>
      <c r="F66" s="13"/>
      <c r="G66" s="13"/>
      <c r="H66" s="13"/>
      <c r="I66" s="1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</row>
    <row r="67" spans="1:89" ht="10.5" customHeight="1" x14ac:dyDescent="0.15">
      <c r="A67" s="14"/>
      <c r="B67" s="13"/>
      <c r="C67" s="13"/>
      <c r="D67" s="13"/>
      <c r="E67" s="13"/>
      <c r="F67" s="13"/>
      <c r="G67" s="13"/>
      <c r="H67" s="13"/>
      <c r="I67" s="13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</row>
    <row r="68" spans="1:89" ht="12.75" customHeight="1" x14ac:dyDescent="0.15">
      <c r="A68" s="14"/>
      <c r="B68" s="13"/>
      <c r="C68" s="13"/>
      <c r="D68" s="13"/>
      <c r="E68" s="13"/>
      <c r="F68" s="13"/>
      <c r="G68" s="13"/>
      <c r="H68" s="13"/>
      <c r="I68" s="13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</row>
    <row r="69" spans="1:89" ht="12.75" customHeight="1" x14ac:dyDescent="0.15">
      <c r="A69" s="14"/>
      <c r="B69" s="13"/>
      <c r="C69" s="13"/>
      <c r="D69" s="13"/>
      <c r="E69" s="13"/>
      <c r="F69" s="13"/>
      <c r="G69" s="13"/>
      <c r="H69" s="13"/>
      <c r="I69" s="13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</row>
    <row r="70" spans="1:89" ht="12.75" customHeight="1" x14ac:dyDescent="0.15">
      <c r="A70" s="14"/>
      <c r="B70" s="13"/>
      <c r="C70" s="13"/>
      <c r="D70" s="13"/>
      <c r="E70" s="13"/>
      <c r="F70" s="13"/>
      <c r="G70" s="13"/>
      <c r="H70" s="13"/>
      <c r="I70" s="13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</row>
    <row r="71" spans="1:89" ht="12.75" customHeight="1" x14ac:dyDescent="0.15">
      <c r="A71" s="14"/>
      <c r="B71" s="13"/>
      <c r="C71" s="13"/>
      <c r="D71" s="13"/>
      <c r="E71" s="13"/>
      <c r="F71" s="13"/>
      <c r="G71" s="13"/>
      <c r="H71" s="13"/>
      <c r="I71" s="13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</row>
    <row r="72" spans="1:89" ht="12.75" customHeight="1" x14ac:dyDescent="0.15">
      <c r="A72" s="14"/>
      <c r="B72" s="13"/>
      <c r="C72" s="13"/>
      <c r="D72" s="13"/>
      <c r="E72" s="13"/>
      <c r="F72" s="13"/>
      <c r="G72" s="13"/>
      <c r="H72" s="13"/>
      <c r="I72" s="13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</row>
    <row r="73" spans="1:89" ht="12.75" customHeight="1" x14ac:dyDescent="0.15">
      <c r="A73" s="14"/>
      <c r="B73" s="13"/>
      <c r="C73" s="13"/>
      <c r="D73" s="13"/>
      <c r="E73" s="13"/>
      <c r="F73" s="13"/>
      <c r="G73" s="13"/>
      <c r="H73" s="13"/>
      <c r="I73" s="13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</row>
    <row r="74" spans="1:89" ht="12.75" customHeight="1" x14ac:dyDescent="0.15">
      <c r="A74" s="14"/>
      <c r="B74" s="13"/>
      <c r="C74" s="13"/>
      <c r="D74" s="13"/>
      <c r="E74" s="13"/>
      <c r="F74" s="13"/>
      <c r="G74" s="13"/>
      <c r="H74" s="13"/>
      <c r="I74" s="13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</row>
    <row r="75" spans="1:89" ht="12.75" customHeight="1" x14ac:dyDescent="0.15">
      <c r="A75" s="14"/>
      <c r="B75" s="13"/>
      <c r="C75" s="13"/>
      <c r="D75" s="13"/>
      <c r="E75" s="13"/>
      <c r="F75" s="13"/>
      <c r="G75" s="13"/>
      <c r="H75" s="13"/>
      <c r="I75" s="13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</row>
    <row r="76" spans="1:89" ht="12.75" customHeight="1" x14ac:dyDescent="0.15">
      <c r="A76" s="14"/>
      <c r="B76" s="13"/>
      <c r="C76" s="13"/>
      <c r="D76" s="13"/>
      <c r="E76" s="13"/>
      <c r="F76" s="13"/>
      <c r="G76" s="13"/>
      <c r="H76" s="13"/>
      <c r="I76" s="13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</row>
    <row r="77" spans="1:89" ht="12.75" customHeight="1" x14ac:dyDescent="0.15">
      <c r="A77" s="14"/>
      <c r="B77" s="13"/>
      <c r="C77" s="13"/>
      <c r="D77" s="13"/>
      <c r="E77" s="13"/>
      <c r="F77" s="13"/>
      <c r="G77" s="13"/>
      <c r="H77" s="13"/>
      <c r="I77" s="13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</row>
    <row r="78" spans="1:89" ht="12.75" customHeight="1" x14ac:dyDescent="0.15">
      <c r="A78" s="14"/>
      <c r="B78" s="13"/>
      <c r="C78" s="13"/>
      <c r="D78" s="13"/>
      <c r="E78" s="13"/>
      <c r="F78" s="13"/>
      <c r="G78" s="13"/>
      <c r="H78" s="13"/>
      <c r="I78" s="13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</row>
    <row r="79" spans="1:89" ht="12.75" customHeight="1" x14ac:dyDescent="0.15">
      <c r="A79" s="14"/>
      <c r="B79" s="13"/>
      <c r="C79" s="13"/>
      <c r="D79" s="13"/>
      <c r="E79" s="13"/>
      <c r="F79" s="13"/>
      <c r="G79" s="13"/>
      <c r="H79" s="13"/>
      <c r="I79" s="13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</row>
    <row r="80" spans="1:89" ht="12.75" customHeight="1" x14ac:dyDescent="0.15">
      <c r="A80" s="14"/>
      <c r="B80" s="13"/>
      <c r="C80" s="13"/>
      <c r="D80" s="13"/>
      <c r="E80" s="13"/>
      <c r="F80" s="13"/>
      <c r="G80" s="13"/>
      <c r="H80" s="13"/>
      <c r="I80" s="13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</row>
    <row r="81" spans="1:89" ht="12.75" customHeight="1" x14ac:dyDescent="0.15">
      <c r="A81" s="14"/>
      <c r="B81" s="13"/>
      <c r="C81" s="13"/>
      <c r="D81" s="13"/>
      <c r="E81" s="13"/>
      <c r="F81" s="13"/>
      <c r="G81" s="13"/>
      <c r="H81" s="13"/>
      <c r="I81" s="13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</row>
    <row r="82" spans="1:89" ht="12.75" customHeight="1" x14ac:dyDescent="0.15">
      <c r="A82" s="14"/>
      <c r="B82" s="13"/>
      <c r="C82" s="13"/>
      <c r="D82" s="13"/>
      <c r="E82" s="13"/>
      <c r="F82" s="13"/>
      <c r="G82" s="13"/>
      <c r="H82" s="13"/>
      <c r="I82" s="13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</row>
    <row r="83" spans="1:89" ht="12.75" customHeight="1" x14ac:dyDescent="0.15">
      <c r="A83" s="14"/>
      <c r="B83" s="13"/>
      <c r="C83" s="13"/>
      <c r="D83" s="13"/>
      <c r="E83" s="13"/>
      <c r="F83" s="13"/>
      <c r="G83" s="13"/>
      <c r="H83" s="13"/>
      <c r="I83" s="13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</row>
    <row r="84" spans="1:89" ht="12.75" customHeight="1" x14ac:dyDescent="0.15">
      <c r="A84" s="14"/>
      <c r="B84" s="13"/>
      <c r="C84" s="13"/>
      <c r="D84" s="13"/>
      <c r="E84" s="13"/>
      <c r="F84" s="13"/>
      <c r="G84" s="13"/>
      <c r="H84" s="13"/>
      <c r="I84" s="13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</row>
    <row r="85" spans="1:89" ht="12.75" customHeight="1" x14ac:dyDescent="0.15">
      <c r="A85" s="14"/>
      <c r="B85" s="13"/>
      <c r="C85" s="13"/>
      <c r="D85" s="13"/>
      <c r="E85" s="13"/>
      <c r="F85" s="13"/>
      <c r="G85" s="13"/>
      <c r="H85" s="13"/>
      <c r="I85" s="13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</row>
    <row r="86" spans="1:89" ht="12.75" customHeight="1" x14ac:dyDescent="0.15">
      <c r="A86" s="14"/>
      <c r="B86" s="13"/>
      <c r="C86" s="13"/>
      <c r="D86" s="13"/>
      <c r="E86" s="13"/>
      <c r="F86" s="13"/>
      <c r="G86" s="13"/>
      <c r="H86" s="13"/>
      <c r="I86" s="13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</row>
    <row r="87" spans="1:89" ht="12.75" customHeight="1" x14ac:dyDescent="0.1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</row>
    <row r="88" spans="1:89" ht="12.75" customHeight="1" x14ac:dyDescent="0.1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</row>
    <row r="89" spans="1:89" ht="12.75" customHeight="1" x14ac:dyDescent="0.1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</row>
    <row r="90" spans="1:89" ht="12.75" customHeight="1" x14ac:dyDescent="0.1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</row>
    <row r="91" spans="1:89" ht="12.75" customHeight="1" x14ac:dyDescent="0.1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</row>
    <row r="92" spans="1:89" ht="12.75" customHeight="1" x14ac:dyDescent="0.1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</row>
    <row r="93" spans="1:89" ht="12.75" customHeight="1" x14ac:dyDescent="0.1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</row>
    <row r="94" spans="1:89" ht="12.75" customHeight="1" x14ac:dyDescent="0.1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</row>
    <row r="95" spans="1:89" ht="12.75" customHeight="1" x14ac:dyDescent="0.1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</row>
    <row r="96" spans="1:89" ht="12.75" customHeight="1" x14ac:dyDescent="0.1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</row>
    <row r="97" spans="1:89" ht="12.75" customHeight="1" x14ac:dyDescent="0.1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</row>
    <row r="98" spans="1:89" ht="12.75" customHeight="1" x14ac:dyDescent="0.1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</row>
    <row r="99" spans="1:89" ht="12.75" customHeight="1" x14ac:dyDescent="0.1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</row>
  </sheetData>
  <printOptions horizontalCentered="1"/>
  <pageMargins left="0.72986111111111096" right="0.65972222222222199" top="2.19027777777778" bottom="0.80972222222222201" header="1.5701388888888901" footer="0.511811023622047"/>
  <pageSetup paperSize="9" scale="92" orientation="landscape" horizontalDpi="300" verticalDpi="300"/>
  <headerFooter>
    <oddHeader>&amp;C- GLİ, 2022 -_x005F_x000a_DÜŞME NEDENLİ KAZALARIN KAZALANAN İŞÇİLERİN SANATLARINA GÖRE DAĞILIMI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4"/>
  <sheetViews>
    <sheetView zoomScaleNormal="100" workbookViewId="0">
      <selection activeCell="T113" sqref="T113"/>
    </sheetView>
  </sheetViews>
  <sheetFormatPr baseColWidth="10" defaultColWidth="9" defaultRowHeight="13" x14ac:dyDescent="0.15"/>
  <cols>
    <col min="1" max="1" width="10.6640625" customWidth="1"/>
    <col min="2" max="2" width="7.1640625" style="3" customWidth="1"/>
    <col min="4" max="4" width="20.6640625" customWidth="1"/>
    <col min="5" max="5" width="10.6640625" customWidth="1"/>
    <col min="6" max="6" width="7.1640625" style="3" customWidth="1"/>
    <col min="7" max="7" width="6.6640625" customWidth="1"/>
    <col min="8" max="8" width="20.6640625" customWidth="1"/>
    <col min="9" max="9" width="10.6640625" customWidth="1"/>
    <col min="10" max="10" width="7.1640625" style="3" customWidth="1"/>
    <col min="11" max="11" width="6.6640625" customWidth="1"/>
  </cols>
  <sheetData>
    <row r="1" spans="1:11" ht="12.75" customHeight="1" x14ac:dyDescent="0.15">
      <c r="A1" s="14"/>
      <c r="B1" s="13"/>
      <c r="C1" s="14"/>
      <c r="D1" s="14"/>
      <c r="E1" s="14"/>
      <c r="F1" s="13"/>
      <c r="G1" s="14"/>
      <c r="H1" s="14"/>
      <c r="I1" s="14"/>
      <c r="J1" s="13"/>
      <c r="K1" s="14"/>
    </row>
    <row r="2" spans="1:11" ht="27" customHeight="1" x14ac:dyDescent="0.15">
      <c r="A2" s="58"/>
      <c r="B2" s="101"/>
      <c r="C2" s="13"/>
      <c r="D2" s="14"/>
      <c r="E2" s="58"/>
      <c r="F2" s="101"/>
      <c r="G2" s="13"/>
      <c r="H2" s="13"/>
      <c r="I2" s="101"/>
      <c r="J2" s="101"/>
      <c r="K2" s="13"/>
    </row>
    <row r="3" spans="1:11" ht="12.75" customHeight="1" x14ac:dyDescent="0.15">
      <c r="A3" s="141" t="s">
        <v>40</v>
      </c>
      <c r="B3" s="117" t="s">
        <v>33</v>
      </c>
      <c r="C3" s="117" t="s">
        <v>519</v>
      </c>
      <c r="D3" s="14"/>
      <c r="E3" s="141" t="s">
        <v>41</v>
      </c>
      <c r="F3" s="117" t="s">
        <v>33</v>
      </c>
      <c r="G3" s="117" t="s">
        <v>519</v>
      </c>
      <c r="H3" s="14"/>
      <c r="I3" s="141" t="s">
        <v>42</v>
      </c>
      <c r="J3" s="117" t="s">
        <v>33</v>
      </c>
      <c r="K3" s="117" t="s">
        <v>519</v>
      </c>
    </row>
    <row r="4" spans="1:11" ht="12.75" customHeight="1" x14ac:dyDescent="0.15">
      <c r="A4" s="120" t="s">
        <v>17</v>
      </c>
      <c r="B4" s="116">
        <f>program!AF2</f>
        <v>0</v>
      </c>
      <c r="C4" s="113">
        <f>IFERROR(B4/B16*100,0)</f>
        <v>0</v>
      </c>
      <c r="D4" s="14"/>
      <c r="E4" s="120" t="s">
        <v>55</v>
      </c>
      <c r="F4" s="116">
        <f>program!AI2</f>
        <v>2</v>
      </c>
      <c r="G4" s="113">
        <f>IFERROR(F4/F11*100,0)</f>
        <v>25</v>
      </c>
      <c r="H4" s="14"/>
      <c r="I4" s="120" t="s">
        <v>56</v>
      </c>
      <c r="J4" s="116">
        <f>program!AL2</f>
        <v>9</v>
      </c>
      <c r="K4" s="113">
        <f>IFERROR(J4/J16*100,0)</f>
        <v>100</v>
      </c>
    </row>
    <row r="5" spans="1:11" ht="12.75" customHeight="1" x14ac:dyDescent="0.15">
      <c r="A5" s="120" t="s">
        <v>18</v>
      </c>
      <c r="B5" s="116">
        <f>program!AF3</f>
        <v>0</v>
      </c>
      <c r="C5" s="113">
        <f>IFERROR(B5/B16*100,0)</f>
        <v>0</v>
      </c>
      <c r="D5" s="14"/>
      <c r="E5" s="120" t="s">
        <v>67</v>
      </c>
      <c r="F5" s="116">
        <f>program!AI3</f>
        <v>1</v>
      </c>
      <c r="G5" s="113">
        <f>IFERROR(F5/F11*100,0)</f>
        <v>12.5</v>
      </c>
      <c r="H5" s="14"/>
      <c r="I5" s="120" t="s">
        <v>68</v>
      </c>
      <c r="J5" s="116">
        <f>program!AL3</f>
        <v>0</v>
      </c>
      <c r="K5" s="113">
        <f>IFERROR(J5/J16*100,0)</f>
        <v>0</v>
      </c>
    </row>
    <row r="6" spans="1:11" ht="12.75" customHeight="1" x14ac:dyDescent="0.15">
      <c r="A6" s="120" t="s">
        <v>19</v>
      </c>
      <c r="B6" s="116">
        <f>program!AF4</f>
        <v>0</v>
      </c>
      <c r="C6" s="113">
        <f>IFERROR(B6/B16*100,0)</f>
        <v>0</v>
      </c>
      <c r="D6" s="14"/>
      <c r="E6" s="120" t="s">
        <v>78</v>
      </c>
      <c r="F6" s="116">
        <f>program!AI4</f>
        <v>0</v>
      </c>
      <c r="G6" s="113">
        <f>IFERROR(F6/F11*100,0)</f>
        <v>0</v>
      </c>
      <c r="H6" s="14"/>
      <c r="I6" s="120" t="s">
        <v>79</v>
      </c>
      <c r="J6" s="116">
        <f>program!AL4</f>
        <v>0</v>
      </c>
      <c r="K6" s="113">
        <f>IFERROR(J6/J16*100,0)</f>
        <v>0</v>
      </c>
    </row>
    <row r="7" spans="1:11" ht="12.75" customHeight="1" x14ac:dyDescent="0.15">
      <c r="A7" s="120" t="s">
        <v>21</v>
      </c>
      <c r="B7" s="116">
        <f>program!AF5</f>
        <v>0</v>
      </c>
      <c r="C7" s="113">
        <f>IFERROR(B7/B16*100,0)</f>
        <v>0</v>
      </c>
      <c r="D7" s="14"/>
      <c r="E7" s="120" t="s">
        <v>88</v>
      </c>
      <c r="F7" s="116">
        <f>program!AI5</f>
        <v>0</v>
      </c>
      <c r="G7" s="113">
        <f>IFERROR(F7/F11*100,0)</f>
        <v>0</v>
      </c>
      <c r="H7" s="14"/>
      <c r="I7" s="120" t="s">
        <v>89</v>
      </c>
      <c r="J7" s="116">
        <f>program!AL5</f>
        <v>0</v>
      </c>
      <c r="K7" s="113">
        <f>IFERROR(J7/J16*100,0)</f>
        <v>0</v>
      </c>
    </row>
    <row r="8" spans="1:11" ht="12.75" customHeight="1" x14ac:dyDescent="0.15">
      <c r="A8" s="120" t="s">
        <v>22</v>
      </c>
      <c r="B8" s="116">
        <f>program!AF6</f>
        <v>0</v>
      </c>
      <c r="C8" s="113">
        <f>IFERROR(B8/B16*100,0)</f>
        <v>0</v>
      </c>
      <c r="D8" s="14"/>
      <c r="E8" s="120" t="s">
        <v>99</v>
      </c>
      <c r="F8" s="116">
        <f>program!AI6</f>
        <v>3</v>
      </c>
      <c r="G8" s="113">
        <f>IFERROR(F8/F11*100,0)</f>
        <v>37.5</v>
      </c>
      <c r="H8" s="14"/>
      <c r="I8" s="120" t="s">
        <v>100</v>
      </c>
      <c r="J8" s="116">
        <f>program!AL6</f>
        <v>0</v>
      </c>
      <c r="K8" s="113">
        <f>IFERROR(J8/J16*100,0)</f>
        <v>0</v>
      </c>
    </row>
    <row r="9" spans="1:11" ht="12.75" customHeight="1" x14ac:dyDescent="0.15">
      <c r="A9" s="120" t="s">
        <v>23</v>
      </c>
      <c r="B9" s="116">
        <f>program!AF7</f>
        <v>4</v>
      </c>
      <c r="C9" s="113">
        <f>IFERROR(B9/B16*100,0)</f>
        <v>50</v>
      </c>
      <c r="D9" s="14"/>
      <c r="E9" s="120" t="s">
        <v>110</v>
      </c>
      <c r="F9" s="116">
        <f>program!AI7</f>
        <v>2</v>
      </c>
      <c r="G9" s="113">
        <f>IFERROR(F9/F11*100,0)</f>
        <v>25</v>
      </c>
      <c r="H9" s="14"/>
      <c r="I9" s="120" t="s">
        <v>111</v>
      </c>
      <c r="J9" s="116">
        <f>program!AL7</f>
        <v>0</v>
      </c>
      <c r="K9" s="113">
        <f>IFERROR(J9/J16*100,0)</f>
        <v>0</v>
      </c>
    </row>
    <row r="10" spans="1:11" ht="12.75" customHeight="1" x14ac:dyDescent="0.15">
      <c r="A10" s="120" t="s">
        <v>25</v>
      </c>
      <c r="B10" s="116">
        <f>program!AF8</f>
        <v>1</v>
      </c>
      <c r="C10" s="113">
        <f>IFERROR(B10/B16*100,0)</f>
        <v>12.5</v>
      </c>
      <c r="D10" s="14"/>
      <c r="E10" s="120" t="s">
        <v>120</v>
      </c>
      <c r="F10" s="116">
        <f>program!AI8</f>
        <v>0</v>
      </c>
      <c r="G10" s="113">
        <f>IFERROR(F10/F11*100,0)</f>
        <v>0</v>
      </c>
      <c r="H10" s="14"/>
      <c r="I10" s="120" t="s">
        <v>121</v>
      </c>
      <c r="J10" s="116">
        <f>program!AL8</f>
        <v>0</v>
      </c>
      <c r="K10" s="113">
        <f>IFERROR(J10/J16*100,0)</f>
        <v>0</v>
      </c>
    </row>
    <row r="11" spans="1:11" ht="12.75" customHeight="1" x14ac:dyDescent="0.15">
      <c r="A11" s="120" t="s">
        <v>26</v>
      </c>
      <c r="B11" s="116">
        <f>program!AF9</f>
        <v>0</v>
      </c>
      <c r="C11" s="113">
        <f>IFERROR(B11/B16*100,0)</f>
        <v>0</v>
      </c>
      <c r="D11" s="14"/>
      <c r="E11" s="125" t="s">
        <v>113</v>
      </c>
      <c r="F11" s="121">
        <f>SUM(F4:F10)</f>
        <v>8</v>
      </c>
      <c r="G11" s="100"/>
      <c r="H11" s="14"/>
      <c r="I11" s="120" t="s">
        <v>130</v>
      </c>
      <c r="J11" s="116">
        <f>program!AL9</f>
        <v>0</v>
      </c>
      <c r="K11" s="113">
        <f>IFERROR(J11/J16*100,0)</f>
        <v>0</v>
      </c>
    </row>
    <row r="12" spans="1:11" ht="12.75" customHeight="1" x14ac:dyDescent="0.15">
      <c r="A12" s="120" t="s">
        <v>27</v>
      </c>
      <c r="B12" s="116">
        <f>program!AF10</f>
        <v>0</v>
      </c>
      <c r="C12" s="113">
        <f>IFERROR(B12/B16*100,0)</f>
        <v>0</v>
      </c>
      <c r="D12" s="14"/>
      <c r="E12" s="14"/>
      <c r="F12" s="13"/>
      <c r="G12" s="14"/>
      <c r="H12" s="14"/>
      <c r="I12" s="120" t="s">
        <v>137</v>
      </c>
      <c r="J12" s="116">
        <f>program!AL10</f>
        <v>0</v>
      </c>
      <c r="K12" s="113">
        <f>IFERROR(J12/J16*100,0)</f>
        <v>0</v>
      </c>
    </row>
    <row r="13" spans="1:11" ht="12.75" customHeight="1" x14ac:dyDescent="0.15">
      <c r="A13" s="120" t="s">
        <v>29</v>
      </c>
      <c r="B13" s="116">
        <f>program!AF11</f>
        <v>1</v>
      </c>
      <c r="C13" s="113">
        <f>IFERROR(B13/B16*100,0)</f>
        <v>12.5</v>
      </c>
      <c r="D13" s="14"/>
      <c r="E13" s="14"/>
      <c r="F13" s="13"/>
      <c r="G13" s="14"/>
      <c r="H13" s="14"/>
      <c r="I13" s="120" t="s">
        <v>145</v>
      </c>
      <c r="J13" s="116">
        <f>program!AL11</f>
        <v>0</v>
      </c>
      <c r="K13" s="113">
        <f>IFERROR(J13/J16*100,0)</f>
        <v>0</v>
      </c>
    </row>
    <row r="14" spans="1:11" ht="12.75" customHeight="1" x14ac:dyDescent="0.15">
      <c r="A14" s="120" t="s">
        <v>30</v>
      </c>
      <c r="B14" s="116">
        <f>program!AF12</f>
        <v>1</v>
      </c>
      <c r="C14" s="113">
        <f>IFERROR(B14/B16*100,0)</f>
        <v>12.5</v>
      </c>
      <c r="D14" s="14"/>
      <c r="E14" s="14"/>
      <c r="F14" s="13"/>
      <c r="G14" s="14"/>
      <c r="H14" s="14"/>
      <c r="I14" s="120" t="s">
        <v>152</v>
      </c>
      <c r="J14" s="116">
        <f>program!AL12</f>
        <v>0</v>
      </c>
      <c r="K14" s="113">
        <f>IFERROR(J14/J16*100,0)</f>
        <v>0</v>
      </c>
    </row>
    <row r="15" spans="1:11" ht="12.75" customHeight="1" x14ac:dyDescent="0.15">
      <c r="A15" s="120" t="s">
        <v>31</v>
      </c>
      <c r="B15" s="116">
        <f>program!AF13</f>
        <v>1</v>
      </c>
      <c r="C15" s="113">
        <f>IFERROR(B15/B16*100,0)</f>
        <v>12.5</v>
      </c>
      <c r="D15" s="14"/>
      <c r="E15" s="14"/>
      <c r="F15" s="13"/>
      <c r="G15" s="14"/>
      <c r="H15" s="14"/>
      <c r="I15" s="120" t="s">
        <v>159</v>
      </c>
      <c r="J15" s="116">
        <f>program!AL13</f>
        <v>0</v>
      </c>
      <c r="K15" s="113">
        <f>IFERROR(J15/J16*100,0)</f>
        <v>0</v>
      </c>
    </row>
    <row r="16" spans="1:11" s="14" customFormat="1" ht="12.75" customHeight="1" x14ac:dyDescent="0.15">
      <c r="A16" s="125" t="s">
        <v>113</v>
      </c>
      <c r="B16" s="121">
        <f>SUM(B4:B15)</f>
        <v>8</v>
      </c>
      <c r="C16" s="146">
        <f>IFERROR(B16/B16*100,0)</f>
        <v>100</v>
      </c>
      <c r="F16" s="13"/>
      <c r="I16" s="125" t="s">
        <v>113</v>
      </c>
      <c r="J16" s="121">
        <f>SUM(J4:J15)</f>
        <v>9</v>
      </c>
      <c r="K16" s="100"/>
    </row>
    <row r="17" spans="1:11" ht="12.75" customHeight="1" x14ac:dyDescent="0.1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spans="1:11" ht="12.75" customHeight="1" x14ac:dyDescent="0.1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spans="1:11" ht="12.75" customHeight="1" x14ac:dyDescent="0.1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1" ht="12.75" customHeight="1" x14ac:dyDescent="0.1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spans="1:11" ht="12.75" customHeight="1" x14ac:dyDescent="0.1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2.75" customHeight="1" x14ac:dyDescent="0.1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2.75" customHeight="1" x14ac:dyDescent="0.1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2.75" customHeight="1" x14ac:dyDescent="0.1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2.75" customHeight="1" x14ac:dyDescent="0.1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2.75" customHeight="1" x14ac:dyDescent="0.1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2.75" customHeight="1" x14ac:dyDescent="0.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2.75" customHeight="1" x14ac:dyDescent="0.1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1:11" ht="12.75" customHeight="1" x14ac:dyDescent="0.1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1:11" ht="12.75" customHeight="1" x14ac:dyDescent="0.1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spans="1:11" ht="12.75" customHeight="1" x14ac:dyDescent="0.1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spans="1:11" ht="12.75" customHeight="1" x14ac:dyDescent="0.1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1" ht="12.75" customHeight="1" x14ac:dyDescent="0.1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 ht="12.75" customHeight="1" x14ac:dyDescent="0.1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</sheetData>
  <printOptions horizontalCentered="1"/>
  <pageMargins left="0.75" right="0.75" top="2.3902777777777802" bottom="1" header="1.6" footer="0.511811023622047"/>
  <pageSetup paperSize="9" orientation="landscape" horizontalDpi="300" verticalDpi="300"/>
  <headerFooter>
    <oddHeader>&amp;C&amp;12 - GLİ, 2022 -_x005F_x000a_KAZALARIN AYLARA, GÜNLERE VE SAATLERE GÖRE DAĞILIMI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9"/>
  <sheetViews>
    <sheetView zoomScaleNormal="100" workbookViewId="0">
      <selection activeCell="T113" sqref="T113"/>
    </sheetView>
  </sheetViews>
  <sheetFormatPr baseColWidth="10" defaultColWidth="9" defaultRowHeight="13" x14ac:dyDescent="0.15"/>
  <cols>
    <col min="1" max="1" width="18" customWidth="1"/>
    <col min="2" max="2" width="5.83203125" customWidth="1"/>
    <col min="3" max="3" width="6.6640625" customWidth="1"/>
    <col min="4" max="4" width="30.6640625" customWidth="1"/>
    <col min="5" max="5" width="12" customWidth="1"/>
    <col min="6" max="6" width="5.83203125" customWidth="1"/>
    <col min="7" max="7" width="6.6640625" customWidth="1"/>
    <col min="8" max="8" width="10" customWidth="1"/>
    <col min="9" max="9" width="10.33203125" customWidth="1"/>
  </cols>
  <sheetData>
    <row r="1" spans="1:11" ht="19.5" customHeight="1" x14ac:dyDescent="0.15">
      <c r="A1" s="13"/>
      <c r="B1" s="14"/>
      <c r="C1" s="14"/>
      <c r="D1" s="14"/>
      <c r="E1" s="13"/>
      <c r="F1" s="14"/>
      <c r="G1" s="14"/>
      <c r="H1" s="14"/>
      <c r="I1" s="14"/>
      <c r="J1" s="14"/>
      <c r="K1" s="14"/>
    </row>
    <row r="2" spans="1:11" ht="15.75" customHeight="1" x14ac:dyDescent="0.1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25.5" customHeight="1" x14ac:dyDescent="0.15">
      <c r="A3" s="112" t="s">
        <v>952</v>
      </c>
      <c r="B3" s="5" t="s">
        <v>33</v>
      </c>
      <c r="C3" s="5" t="s">
        <v>519</v>
      </c>
      <c r="D3" s="14"/>
      <c r="E3" s="112" t="s">
        <v>44</v>
      </c>
      <c r="F3" s="5" t="s">
        <v>33</v>
      </c>
      <c r="G3" s="5" t="s">
        <v>519</v>
      </c>
      <c r="H3" s="5" t="s">
        <v>45</v>
      </c>
      <c r="I3" s="5" t="s">
        <v>953</v>
      </c>
      <c r="J3" s="14"/>
      <c r="K3" s="14"/>
    </row>
    <row r="4" spans="1:11" ht="12.75" customHeight="1" x14ac:dyDescent="0.15">
      <c r="A4" s="82" t="s">
        <v>858</v>
      </c>
      <c r="B4" s="60">
        <f>COUNTIF(veri!J:J,10)</f>
        <v>0</v>
      </c>
      <c r="C4" s="129">
        <f>IFERROR(B4/B37*100,0)</f>
        <v>0</v>
      </c>
      <c r="D4" s="14"/>
      <c r="E4" s="59" t="s">
        <v>58</v>
      </c>
      <c r="F4" s="60">
        <f>COUNTIFS(veri!K:K,"&gt;0",veri!K:K,"&lt;=3")</f>
        <v>1</v>
      </c>
      <c r="G4" s="129">
        <f>IFERROR(F4/F9*100,0)</f>
        <v>25</v>
      </c>
      <c r="H4" s="60">
        <f>SUMIFS(veri!K:K,veri!K:K,"&gt;0",veri!K:K,"&lt;=3")</f>
        <v>2</v>
      </c>
      <c r="I4" s="60">
        <f t="shared" ref="I4:I9" si="0">IFERROR(H4/F4,0)</f>
        <v>2</v>
      </c>
      <c r="J4" s="14"/>
      <c r="K4" s="14"/>
    </row>
    <row r="5" spans="1:11" ht="12.75" customHeight="1" x14ac:dyDescent="0.15">
      <c r="A5" s="59" t="s">
        <v>954</v>
      </c>
      <c r="B5" s="60">
        <f>COUNTIF(veri!J:J,11)</f>
        <v>0</v>
      </c>
      <c r="C5" s="113">
        <f>IFERROR(B5/B37*100,0)</f>
        <v>0</v>
      </c>
      <c r="D5" s="14"/>
      <c r="E5" s="147" t="s">
        <v>70</v>
      </c>
      <c r="F5" s="60">
        <f>COUNTIFS(veri!K:K,"&gt;3",veri!K:K,"&lt;=7")</f>
        <v>1</v>
      </c>
      <c r="G5" s="113">
        <f>IFERROR(F5/F9*100,0)</f>
        <v>25</v>
      </c>
      <c r="H5" s="60">
        <f>SUMIFS(veri!K:K,veri!K:K,"&gt;3",veri!K:K,"&lt;=7")</f>
        <v>4</v>
      </c>
      <c r="I5" s="133">
        <f t="shared" si="0"/>
        <v>4</v>
      </c>
      <c r="J5" s="14"/>
      <c r="K5" s="14"/>
    </row>
    <row r="6" spans="1:11" ht="12.75" customHeight="1" x14ac:dyDescent="0.15">
      <c r="A6" s="59" t="s">
        <v>860</v>
      </c>
      <c r="B6" s="60">
        <f>COUNTIF(veri!J:J,12)</f>
        <v>0</v>
      </c>
      <c r="C6" s="113">
        <f>IFERROR(B6/B37*100,0)</f>
        <v>0</v>
      </c>
      <c r="D6" s="14"/>
      <c r="E6" s="147" t="s">
        <v>81</v>
      </c>
      <c r="F6" s="60">
        <f>COUNTIFS(veri!K:K,"&gt;7",veri!K:K,"&lt;=15")</f>
        <v>0</v>
      </c>
      <c r="G6" s="113">
        <f>IFERROR(F6/F9*100,0)</f>
        <v>0</v>
      </c>
      <c r="H6" s="60">
        <f>SUMIFS(veri!K:K,veri!K:K,"&gt;7",veri!K:K,"&lt;=15")</f>
        <v>0</v>
      </c>
      <c r="I6" s="133">
        <f t="shared" si="0"/>
        <v>0</v>
      </c>
      <c r="J6" s="14"/>
      <c r="K6" s="14"/>
    </row>
    <row r="7" spans="1:11" ht="12.75" customHeight="1" x14ac:dyDescent="0.15">
      <c r="A7" s="59" t="s">
        <v>861</v>
      </c>
      <c r="B7" s="60">
        <f>COUNTIF(veri!J:J,13)</f>
        <v>0</v>
      </c>
      <c r="C7" s="113">
        <f>IFERROR(B7/B37*100,0)</f>
        <v>0</v>
      </c>
      <c r="D7" s="14"/>
      <c r="E7" s="147" t="s">
        <v>91</v>
      </c>
      <c r="F7" s="60">
        <f>COUNTIFS(veri!K:K,"&gt;15",veri!K:K,"&lt;=30")</f>
        <v>1</v>
      </c>
      <c r="G7" s="113">
        <f>IFERROR(F7/F9*100,0)</f>
        <v>25</v>
      </c>
      <c r="H7" s="60">
        <f>SUMIFS(veri!K:K,veri!K:K,"&gt;15",veri!K:K,"&lt;=30")</f>
        <v>26</v>
      </c>
      <c r="I7" s="133">
        <f t="shared" si="0"/>
        <v>26</v>
      </c>
      <c r="J7" s="14"/>
      <c r="K7" s="14"/>
    </row>
    <row r="8" spans="1:11" ht="12.75" customHeight="1" x14ac:dyDescent="0.15">
      <c r="A8" s="59" t="s">
        <v>862</v>
      </c>
      <c r="B8" s="60">
        <f>COUNTIF(veri!J:J,14)</f>
        <v>0</v>
      </c>
      <c r="C8" s="113">
        <f>IFERROR(B8/B37*100,0)</f>
        <v>0</v>
      </c>
      <c r="D8" s="14"/>
      <c r="E8" s="147" t="s">
        <v>102</v>
      </c>
      <c r="F8" s="60">
        <f>COUNTIFS(veri!K:K,"&gt;30",veri!K:K,"&lt;=6000")</f>
        <v>1</v>
      </c>
      <c r="G8" s="113">
        <f>IFERROR(F8/F9*100,0)</f>
        <v>25</v>
      </c>
      <c r="H8" s="60">
        <f>SUMIFS(veri!K:K,veri!K:K,"&gt;30",veri!K:K,"&lt;=6000")</f>
        <v>50</v>
      </c>
      <c r="I8" s="133">
        <f t="shared" si="0"/>
        <v>50</v>
      </c>
      <c r="J8" s="14"/>
      <c r="K8" s="14"/>
    </row>
    <row r="9" spans="1:11" ht="12.75" customHeight="1" x14ac:dyDescent="0.15">
      <c r="A9" s="59" t="s">
        <v>955</v>
      </c>
      <c r="B9" s="60">
        <f>COUNTIF(veri!J:J,15)</f>
        <v>1</v>
      </c>
      <c r="C9" s="113">
        <f>IFERROR(B9/B37*100,0)</f>
        <v>11.111111111111111</v>
      </c>
      <c r="D9" s="14"/>
      <c r="E9" s="148" t="s">
        <v>113</v>
      </c>
      <c r="F9" s="69">
        <f>SUM(F4:F8)</f>
        <v>4</v>
      </c>
      <c r="G9" s="146"/>
      <c r="H9" s="69">
        <f>SUM(H4:H8)</f>
        <v>82</v>
      </c>
      <c r="I9" s="149">
        <f t="shared" si="0"/>
        <v>20.5</v>
      </c>
      <c r="J9" s="14"/>
      <c r="K9" s="14"/>
    </row>
    <row r="10" spans="1:11" ht="13.5" customHeight="1" x14ac:dyDescent="0.15">
      <c r="A10" s="82" t="s">
        <v>864</v>
      </c>
      <c r="B10" s="60">
        <f>COUNTIF(veri!J:J,20)</f>
        <v>0</v>
      </c>
      <c r="C10" s="113">
        <f>IFERROR(B10/B37*100,0)</f>
        <v>0</v>
      </c>
      <c r="D10" s="14"/>
      <c r="E10" s="143"/>
      <c r="F10" s="13"/>
      <c r="G10" s="100"/>
      <c r="H10" s="13"/>
      <c r="I10" s="100"/>
      <c r="J10" s="14"/>
      <c r="K10" s="14"/>
    </row>
    <row r="11" spans="1:11" ht="12.75" customHeight="1" x14ac:dyDescent="0.15">
      <c r="A11" s="82" t="s">
        <v>865</v>
      </c>
      <c r="B11" s="60">
        <f>COUNTIF(veri!J:J,30)</f>
        <v>2</v>
      </c>
      <c r="C11" s="113">
        <f>IFERROR(B11/B37*100,0)</f>
        <v>22.222222222222221</v>
      </c>
      <c r="D11" s="14"/>
      <c r="E11" s="150" t="str">
        <f>IF(B37=F9,"Gün kaybı verileri doğru","HATA! gün kaybı verileri eksik")</f>
        <v>HATA! gün kaybı verileri eksik</v>
      </c>
      <c r="F11" s="14"/>
      <c r="G11" s="14"/>
      <c r="H11" s="14"/>
      <c r="I11" s="13"/>
      <c r="J11" s="14"/>
      <c r="K11" s="14"/>
    </row>
    <row r="12" spans="1:11" ht="12.75" customHeight="1" x14ac:dyDescent="0.15">
      <c r="A12" s="59" t="s">
        <v>956</v>
      </c>
      <c r="B12" s="60">
        <f>COUNTIF(veri!J:J,31)</f>
        <v>0</v>
      </c>
      <c r="C12" s="113">
        <f>IFERROR(B12/B37*100,0)</f>
        <v>0</v>
      </c>
      <c r="D12" s="14"/>
      <c r="E12" s="13"/>
      <c r="F12" s="14"/>
      <c r="G12" s="14"/>
      <c r="H12" s="14"/>
      <c r="I12" s="14"/>
      <c r="J12" s="14"/>
      <c r="K12" s="14"/>
    </row>
    <row r="13" spans="1:11" ht="12.75" customHeight="1" x14ac:dyDescent="0.15">
      <c r="A13" s="59" t="s">
        <v>867</v>
      </c>
      <c r="B13" s="60">
        <f>COUNTIF(veri!J:J,32)</f>
        <v>0</v>
      </c>
      <c r="C13" s="129">
        <f>IFERROR(B13/B37*100,0)</f>
        <v>0</v>
      </c>
      <c r="D13" s="14"/>
      <c r="E13" s="14"/>
      <c r="F13" s="14"/>
      <c r="G13" s="14"/>
      <c r="H13" s="14"/>
      <c r="I13" s="14"/>
      <c r="J13" s="14"/>
      <c r="K13" s="14"/>
    </row>
    <row r="14" spans="1:11" ht="13.5" customHeight="1" x14ac:dyDescent="0.15">
      <c r="A14" s="59" t="s">
        <v>868</v>
      </c>
      <c r="B14" s="60">
        <f>COUNTIF(veri!J:J,33)</f>
        <v>0</v>
      </c>
      <c r="C14" s="129">
        <f>IFERROR(B14/B37*100,0)</f>
        <v>0</v>
      </c>
      <c r="D14" s="14"/>
      <c r="E14" s="14"/>
      <c r="F14" s="14"/>
      <c r="G14" s="14"/>
      <c r="H14" s="14"/>
      <c r="I14" s="14"/>
      <c r="J14" s="14"/>
      <c r="K14" s="14"/>
    </row>
    <row r="15" spans="1:11" ht="12.75" customHeight="1" x14ac:dyDescent="0.15">
      <c r="A15" s="59" t="s">
        <v>869</v>
      </c>
      <c r="B15" s="60">
        <f>COUNTIF(veri!J:J,34)</f>
        <v>0</v>
      </c>
      <c r="C15" s="129">
        <f>IFERROR(B15/B37*100,0)</f>
        <v>0</v>
      </c>
      <c r="D15" s="14"/>
      <c r="E15" s="14"/>
      <c r="F15" s="14"/>
      <c r="G15" s="14"/>
      <c r="H15" s="14"/>
      <c r="I15" s="14"/>
      <c r="J15" s="14"/>
      <c r="K15" s="14"/>
    </row>
    <row r="16" spans="1:11" ht="12.75" customHeight="1" x14ac:dyDescent="0.15">
      <c r="A16" s="59" t="s">
        <v>870</v>
      </c>
      <c r="B16" s="60">
        <f>COUNTIF(veri!J:J,35)</f>
        <v>0</v>
      </c>
      <c r="C16" s="129">
        <f>IFERROR(B16/B37*100,0)</f>
        <v>0</v>
      </c>
      <c r="D16" s="14"/>
      <c r="E16" s="14"/>
      <c r="F16" s="14"/>
      <c r="G16" s="14"/>
      <c r="H16" s="14"/>
      <c r="I16" s="14"/>
      <c r="J16" s="14"/>
      <c r="K16" s="14"/>
    </row>
    <row r="17" spans="1:11" ht="12.75" customHeight="1" x14ac:dyDescent="0.15">
      <c r="A17" s="82" t="s">
        <v>871</v>
      </c>
      <c r="B17" s="60">
        <f>COUNTIF(veri!J:J,36)</f>
        <v>0</v>
      </c>
      <c r="C17" s="129">
        <f>IFERROR(B17/B37*100,0)</f>
        <v>0</v>
      </c>
      <c r="D17" s="14"/>
      <c r="E17" s="14"/>
      <c r="F17" s="14"/>
      <c r="G17" s="14"/>
      <c r="H17" s="14"/>
      <c r="I17" s="14"/>
      <c r="J17" s="14"/>
      <c r="K17" s="14"/>
    </row>
    <row r="18" spans="1:11" ht="12.75" customHeight="1" x14ac:dyDescent="0.15">
      <c r="A18" s="59" t="s">
        <v>872</v>
      </c>
      <c r="B18" s="60">
        <f>COUNTIF(veri!J:J,37)</f>
        <v>0</v>
      </c>
      <c r="C18" s="129">
        <f>IFERROR(B18/B37*100,0)</f>
        <v>0</v>
      </c>
      <c r="D18" s="14"/>
      <c r="E18" s="14"/>
      <c r="F18" s="14"/>
      <c r="G18" s="14"/>
      <c r="H18" s="14"/>
      <c r="I18" s="14"/>
      <c r="J18" s="14"/>
      <c r="K18" s="14"/>
    </row>
    <row r="19" spans="1:11" ht="12.75" customHeight="1" x14ac:dyDescent="0.15">
      <c r="A19" s="82" t="s">
        <v>873</v>
      </c>
      <c r="B19" s="60">
        <f>COUNTIF(veri!J:J,40)</f>
        <v>0</v>
      </c>
      <c r="C19" s="129">
        <f>IFERROR(B19/B37*100,0)</f>
        <v>0</v>
      </c>
      <c r="D19" s="14"/>
      <c r="E19" s="14"/>
      <c r="F19" s="14"/>
      <c r="G19" s="14"/>
      <c r="H19" s="14"/>
      <c r="I19" s="14"/>
      <c r="J19" s="14"/>
      <c r="K19" s="14"/>
    </row>
    <row r="20" spans="1:11" ht="12.75" customHeight="1" x14ac:dyDescent="0.15">
      <c r="A20" s="59" t="s">
        <v>957</v>
      </c>
      <c r="B20" s="60">
        <f>COUNTIF(veri!J:J,41)</f>
        <v>0</v>
      </c>
      <c r="C20" s="129">
        <f>IFERROR(B20/B37*100,0)</f>
        <v>0</v>
      </c>
      <c r="D20" s="14"/>
      <c r="E20" s="14"/>
      <c r="F20" s="14"/>
      <c r="G20" s="14"/>
      <c r="H20" s="14"/>
      <c r="I20" s="14"/>
      <c r="J20" s="14"/>
      <c r="K20" s="14"/>
    </row>
    <row r="21" spans="1:11" ht="12.75" customHeight="1" x14ac:dyDescent="0.15">
      <c r="A21" s="59" t="s">
        <v>875</v>
      </c>
      <c r="B21" s="60">
        <f>COUNTIF(veri!J:J,42)</f>
        <v>0</v>
      </c>
      <c r="C21" s="129">
        <f>IFERROR(B21/B37*100,0)</f>
        <v>0</v>
      </c>
      <c r="D21" s="14"/>
      <c r="E21" s="14"/>
      <c r="F21" s="14"/>
      <c r="G21" s="14"/>
      <c r="H21" s="14"/>
      <c r="I21" s="14"/>
      <c r="J21" s="14"/>
      <c r="K21" s="14"/>
    </row>
    <row r="22" spans="1:11" ht="12.75" customHeight="1" x14ac:dyDescent="0.15">
      <c r="A22" s="59" t="s">
        <v>958</v>
      </c>
      <c r="B22" s="60">
        <f>COUNTIF(veri!J:J,43)</f>
        <v>0</v>
      </c>
      <c r="C22" s="129">
        <f>IFERROR(B22/B37*100,0)</f>
        <v>0</v>
      </c>
      <c r="D22" s="14"/>
      <c r="E22" s="14"/>
      <c r="F22" s="14"/>
      <c r="G22" s="14"/>
      <c r="H22" s="14"/>
      <c r="I22" s="14"/>
      <c r="J22" s="14"/>
      <c r="K22" s="14"/>
    </row>
    <row r="23" spans="1:11" ht="12.75" customHeight="1" x14ac:dyDescent="0.15">
      <c r="A23" s="59" t="s">
        <v>877</v>
      </c>
      <c r="B23" s="60">
        <f>COUNTIF(veri!J:J,44)</f>
        <v>1</v>
      </c>
      <c r="C23" s="129">
        <f>IFERROR(B23/B37*100,0)</f>
        <v>11.111111111111111</v>
      </c>
      <c r="D23" s="14"/>
      <c r="E23" s="14"/>
      <c r="F23" s="14"/>
      <c r="G23" s="14"/>
      <c r="H23" s="14"/>
      <c r="I23" s="14"/>
      <c r="J23" s="14"/>
      <c r="K23" s="14"/>
    </row>
    <row r="24" spans="1:11" ht="12.75" customHeight="1" x14ac:dyDescent="0.15">
      <c r="A24" s="82" t="s">
        <v>878</v>
      </c>
      <c r="B24" s="60">
        <f>COUNTIF(veri!J:J,45)</f>
        <v>2</v>
      </c>
      <c r="C24" s="129">
        <f>IFERROR(B24/B37*100,0)</f>
        <v>22.222222222222221</v>
      </c>
      <c r="D24" s="14"/>
      <c r="E24" s="14"/>
      <c r="F24" s="14"/>
      <c r="G24" s="14"/>
      <c r="H24" s="14"/>
      <c r="I24" s="14"/>
      <c r="J24" s="14"/>
      <c r="K24" s="14"/>
    </row>
    <row r="25" spans="1:11" ht="12.75" customHeight="1" x14ac:dyDescent="0.15">
      <c r="A25" s="59" t="s">
        <v>872</v>
      </c>
      <c r="B25" s="60">
        <f>COUNTIF(veri!J:J,46)</f>
        <v>0</v>
      </c>
      <c r="C25" s="129">
        <f>IFERROR(B25/B37*100,0)</f>
        <v>0</v>
      </c>
      <c r="D25" s="14"/>
      <c r="E25" s="14"/>
      <c r="F25" s="14"/>
      <c r="G25" s="14"/>
      <c r="H25" s="14"/>
      <c r="I25" s="14"/>
      <c r="J25" s="14"/>
      <c r="K25" s="14"/>
    </row>
    <row r="26" spans="1:11" ht="12.75" customHeight="1" x14ac:dyDescent="0.15">
      <c r="A26" s="82" t="s">
        <v>879</v>
      </c>
      <c r="B26" s="60">
        <f>COUNTIF(veri!J:J,50)</f>
        <v>0</v>
      </c>
      <c r="C26" s="129">
        <f>IFERROR(B26/B37*100,0)</f>
        <v>0</v>
      </c>
      <c r="D26" s="14"/>
      <c r="E26" s="14"/>
      <c r="F26" s="14"/>
      <c r="G26" s="14"/>
      <c r="H26" s="14"/>
      <c r="I26" s="14"/>
      <c r="J26" s="14"/>
      <c r="K26" s="14"/>
    </row>
    <row r="27" spans="1:11" ht="12.75" customHeight="1" x14ac:dyDescent="0.15">
      <c r="A27" s="59" t="s">
        <v>959</v>
      </c>
      <c r="B27" s="60">
        <f>COUNTIF(veri!J:J,51)</f>
        <v>0</v>
      </c>
      <c r="C27" s="129">
        <f>IFERROR(B27/B37*100,0)</f>
        <v>0</v>
      </c>
      <c r="D27" s="14"/>
      <c r="E27" s="14"/>
      <c r="F27" s="14"/>
      <c r="G27" s="14"/>
      <c r="H27" s="14"/>
      <c r="I27" s="14"/>
      <c r="J27" s="14"/>
      <c r="K27" s="14"/>
    </row>
    <row r="28" spans="1:11" ht="12.75" customHeight="1" x14ac:dyDescent="0.15">
      <c r="A28" s="59" t="s">
        <v>881</v>
      </c>
      <c r="B28" s="60">
        <f>COUNTIF(veri!J:J,52)</f>
        <v>1</v>
      </c>
      <c r="C28" s="129">
        <f>IFERROR(B28/B37*100,0)</f>
        <v>11.111111111111111</v>
      </c>
      <c r="D28" s="14"/>
      <c r="E28" s="14"/>
      <c r="F28" s="14"/>
      <c r="G28" s="14"/>
      <c r="H28" s="14"/>
      <c r="I28" s="14"/>
      <c r="J28" s="14"/>
      <c r="K28" s="14"/>
    </row>
    <row r="29" spans="1:11" ht="12.75" customHeight="1" x14ac:dyDescent="0.15">
      <c r="A29" s="59" t="s">
        <v>882</v>
      </c>
      <c r="B29" s="60">
        <f>COUNTIF(veri!J:J,53)</f>
        <v>0</v>
      </c>
      <c r="C29" s="129">
        <f>IFERROR(B29/B37*100,0)</f>
        <v>0</v>
      </c>
      <c r="D29" s="14"/>
      <c r="E29" s="14"/>
      <c r="F29" s="14"/>
      <c r="G29" s="14"/>
      <c r="H29" s="14"/>
      <c r="I29" s="14"/>
      <c r="J29" s="14"/>
      <c r="K29" s="14"/>
    </row>
    <row r="30" spans="1:11" ht="12.75" customHeight="1" x14ac:dyDescent="0.15">
      <c r="A30" s="59" t="s">
        <v>960</v>
      </c>
      <c r="B30" s="60">
        <f>COUNTIF(veri!J:J,54)</f>
        <v>0</v>
      </c>
      <c r="C30" s="129">
        <f>IFERROR(B30/B37*100,0)</f>
        <v>0</v>
      </c>
      <c r="D30" s="14"/>
      <c r="E30" s="14"/>
      <c r="F30" s="14"/>
      <c r="G30" s="14"/>
      <c r="H30" s="14"/>
      <c r="I30" s="14"/>
      <c r="J30" s="14"/>
      <c r="K30" s="14"/>
    </row>
    <row r="31" spans="1:11" ht="12.75" customHeight="1" x14ac:dyDescent="0.15">
      <c r="A31" s="59" t="s">
        <v>961</v>
      </c>
      <c r="B31" s="60">
        <f>COUNTIF(veri!J:J,55)</f>
        <v>0</v>
      </c>
      <c r="C31" s="129">
        <f>IFERROR(B31/B37*100,0)</f>
        <v>0</v>
      </c>
      <c r="D31" s="14"/>
      <c r="E31" s="14"/>
      <c r="F31" s="14"/>
      <c r="G31" s="14"/>
      <c r="H31" s="14"/>
      <c r="I31" s="14"/>
      <c r="J31" s="14"/>
      <c r="K31" s="14"/>
    </row>
    <row r="32" spans="1:11" ht="12.75" customHeight="1" x14ac:dyDescent="0.15">
      <c r="A32" s="82" t="s">
        <v>962</v>
      </c>
      <c r="B32" s="60">
        <f>COUNTIF(veri!J:J,60)</f>
        <v>0</v>
      </c>
      <c r="C32" s="129">
        <f>IFERROR(B32/B37*100,0)</f>
        <v>0</v>
      </c>
      <c r="D32" s="14"/>
      <c r="E32" s="14"/>
      <c r="F32" s="14"/>
      <c r="G32" s="14"/>
      <c r="H32" s="14"/>
      <c r="I32" s="14"/>
      <c r="J32" s="14"/>
      <c r="K32" s="14"/>
    </row>
    <row r="33" spans="1:11" ht="12.75" customHeight="1" x14ac:dyDescent="0.15">
      <c r="A33" s="82" t="s">
        <v>886</v>
      </c>
      <c r="B33" s="60">
        <f>COUNTIF(veri!J:J,70)</f>
        <v>0</v>
      </c>
      <c r="C33" s="129">
        <f>IFERROR(B33/B37*100,0)</f>
        <v>0</v>
      </c>
      <c r="D33" s="14"/>
      <c r="E33" s="14"/>
      <c r="F33" s="14"/>
      <c r="G33" s="14"/>
      <c r="H33" s="14"/>
      <c r="I33" s="14"/>
      <c r="J33" s="14"/>
      <c r="K33" s="14"/>
    </row>
    <row r="34" spans="1:11" ht="12.75" customHeight="1" x14ac:dyDescent="0.15">
      <c r="A34" s="82" t="s">
        <v>887</v>
      </c>
      <c r="B34" s="60">
        <f>COUNTIF(veri!J:J,80)</f>
        <v>0</v>
      </c>
      <c r="C34" s="129">
        <f>IFERROR(B34/B37*100,0)</f>
        <v>0</v>
      </c>
      <c r="D34" s="14"/>
      <c r="E34" s="14"/>
      <c r="F34" s="14"/>
      <c r="G34" s="14"/>
      <c r="H34" s="14"/>
      <c r="I34" s="14"/>
      <c r="J34" s="14"/>
      <c r="K34" s="14"/>
    </row>
    <row r="35" spans="1:11" ht="12.75" customHeight="1" x14ac:dyDescent="0.15">
      <c r="A35" s="82" t="s">
        <v>888</v>
      </c>
      <c r="B35" s="60">
        <f>COUNTIF(veri!J:J,90)</f>
        <v>0</v>
      </c>
      <c r="C35" s="129">
        <f>IFERROR(B35/B37*100,0)</f>
        <v>0</v>
      </c>
      <c r="D35" s="14"/>
      <c r="E35" s="14"/>
      <c r="F35" s="14"/>
      <c r="G35" s="14"/>
      <c r="H35" s="14"/>
      <c r="I35" s="14"/>
      <c r="J35" s="14"/>
      <c r="K35" s="14"/>
    </row>
    <row r="36" spans="1:11" ht="12.75" customHeight="1" x14ac:dyDescent="0.15">
      <c r="A36" s="82" t="s">
        <v>889</v>
      </c>
      <c r="B36" s="60">
        <f>COUNTIF(veri!J:J,99)</f>
        <v>2</v>
      </c>
      <c r="C36" s="129">
        <f>IFERROR(B36/B37*100,0)</f>
        <v>22.222222222222221</v>
      </c>
      <c r="D36" s="14"/>
      <c r="E36" s="14"/>
      <c r="F36" s="14"/>
      <c r="G36" s="14"/>
      <c r="H36" s="14"/>
      <c r="I36" s="14"/>
      <c r="J36" s="14"/>
      <c r="K36" s="14"/>
    </row>
    <row r="37" spans="1:11" ht="15" customHeight="1" x14ac:dyDescent="0.15">
      <c r="A37" s="68" t="s">
        <v>113</v>
      </c>
      <c r="B37" s="69">
        <f>SUM(B4:B36)</f>
        <v>9</v>
      </c>
      <c r="C37" s="138">
        <f>IFERROR(B37/B37*100,0)</f>
        <v>100</v>
      </c>
      <c r="D37" s="14"/>
      <c r="E37" s="14"/>
      <c r="F37" s="14"/>
      <c r="G37" s="14"/>
      <c r="H37" s="14"/>
      <c r="I37" s="14"/>
      <c r="J37" s="14"/>
      <c r="K37" s="14"/>
    </row>
    <row r="38" spans="1:11" ht="12.75" customHeight="1" x14ac:dyDescent="0.1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 ht="12.75" customHeight="1" x14ac:dyDescent="0.1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 ht="12.75" customHeight="1" x14ac:dyDescent="0.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 ht="12.75" customHeight="1" x14ac:dyDescent="0.1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 ht="12.75" customHeight="1" x14ac:dyDescent="0.1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 ht="12.75" customHeight="1" x14ac:dyDescent="0.1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 ht="12.75" customHeight="1" x14ac:dyDescent="0.1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 ht="12.75" customHeight="1" x14ac:dyDescent="0.1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 ht="12.75" customHeight="1" x14ac:dyDescent="0.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 ht="12.75" customHeight="1" x14ac:dyDescent="0.1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 ht="12.75" customHeight="1" x14ac:dyDescent="0.1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 ht="12.75" customHeight="1" x14ac:dyDescent="0.1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</sheetData>
  <printOptions horizontalCentered="1"/>
  <pageMargins left="0.75" right="0.75" top="2.52986111111111" bottom="1" header="1.6201388888888899" footer="0.511811023622047"/>
  <pageSetup paperSize="9" orientation="landscape" horizontalDpi="300" verticalDpi="300"/>
  <headerFooter>
    <oddHeader>&amp;C- GLİ, 2022-_x005F_x000a_KAZALANAN UZUVLAR VE GÜN KAYIPLARI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4"/>
  <sheetViews>
    <sheetView zoomScaleNormal="100" workbookViewId="0">
      <selection activeCell="T113" sqref="T113"/>
    </sheetView>
  </sheetViews>
  <sheetFormatPr baseColWidth="10" defaultColWidth="9" defaultRowHeight="13" x14ac:dyDescent="0.15"/>
  <cols>
    <col min="1" max="1" width="15.6640625" customWidth="1"/>
    <col min="2" max="3" width="10.6640625" customWidth="1"/>
  </cols>
  <sheetData>
    <row r="1" spans="1:3" ht="19.5" customHeight="1" x14ac:dyDescent="0.15">
      <c r="A1" s="13"/>
      <c r="B1" s="13"/>
      <c r="C1" s="13"/>
    </row>
    <row r="2" spans="1:3" ht="19.5" customHeight="1" x14ac:dyDescent="0.15">
      <c r="A2" s="141" t="s">
        <v>43</v>
      </c>
      <c r="B2" s="117" t="s">
        <v>33</v>
      </c>
      <c r="C2" s="117" t="s">
        <v>519</v>
      </c>
    </row>
    <row r="3" spans="1:3" ht="19.5" customHeight="1" x14ac:dyDescent="0.15">
      <c r="A3" s="120" t="s">
        <v>57</v>
      </c>
      <c r="B3" s="116">
        <f>program!AO2</f>
        <v>0</v>
      </c>
      <c r="C3" s="151">
        <f>IFERROR(B3/B11*100,0)</f>
        <v>0</v>
      </c>
    </row>
    <row r="4" spans="1:3" ht="19.5" customHeight="1" x14ac:dyDescent="0.15">
      <c r="A4" s="120" t="s">
        <v>69</v>
      </c>
      <c r="B4" s="116">
        <f>program!AO3</f>
        <v>0</v>
      </c>
      <c r="C4" s="151">
        <f>IFERROR(B4/B11*100,0)</f>
        <v>0</v>
      </c>
    </row>
    <row r="5" spans="1:3" ht="19.5" customHeight="1" x14ac:dyDescent="0.15">
      <c r="A5" s="120" t="s">
        <v>80</v>
      </c>
      <c r="B5" s="116">
        <f>program!AO4</f>
        <v>1</v>
      </c>
      <c r="C5" s="151">
        <f>IFERROR(B5/B11*100,0)</f>
        <v>12.5</v>
      </c>
    </row>
    <row r="6" spans="1:3" ht="19.5" customHeight="1" x14ac:dyDescent="0.15">
      <c r="A6" s="120" t="s">
        <v>90</v>
      </c>
      <c r="B6" s="116">
        <f>program!AO5</f>
        <v>1</v>
      </c>
      <c r="C6" s="151">
        <f>IFERROR(B6/B11*100,0)</f>
        <v>12.5</v>
      </c>
    </row>
    <row r="7" spans="1:3" ht="19.5" customHeight="1" x14ac:dyDescent="0.15">
      <c r="A7" s="120" t="s">
        <v>101</v>
      </c>
      <c r="B7" s="116">
        <f>program!AO6</f>
        <v>0</v>
      </c>
      <c r="C7" s="151">
        <f>IFERROR(B7/B11*100,0)</f>
        <v>0</v>
      </c>
    </row>
    <row r="8" spans="1:3" ht="19.5" customHeight="1" x14ac:dyDescent="0.15">
      <c r="A8" s="120" t="s">
        <v>112</v>
      </c>
      <c r="B8" s="116">
        <f>program!AO7</f>
        <v>2</v>
      </c>
      <c r="C8" s="151">
        <f>IFERROR(B8/B11*100,0)</f>
        <v>25</v>
      </c>
    </row>
    <row r="9" spans="1:3" ht="19.5" customHeight="1" x14ac:dyDescent="0.15">
      <c r="A9" s="120" t="s">
        <v>122</v>
      </c>
      <c r="B9" s="116">
        <f>program!AO8</f>
        <v>3</v>
      </c>
      <c r="C9" s="151">
        <f>IFERROR(B9/B11*100,0)</f>
        <v>37.5</v>
      </c>
    </row>
    <row r="10" spans="1:3" ht="19.5" customHeight="1" x14ac:dyDescent="0.15">
      <c r="A10" s="120" t="s">
        <v>131</v>
      </c>
      <c r="B10" s="116">
        <f>program!AO9</f>
        <v>1</v>
      </c>
      <c r="C10" s="151">
        <f>IFERROR(B10/B11*100,0)</f>
        <v>12.5</v>
      </c>
    </row>
    <row r="11" spans="1:3" ht="19.5" customHeight="1" x14ac:dyDescent="0.15">
      <c r="A11" s="125" t="s">
        <v>113</v>
      </c>
      <c r="B11" s="121">
        <f>SUM(B3:B10)</f>
        <v>8</v>
      </c>
      <c r="C11" s="100"/>
    </row>
    <row r="12" spans="1:3" ht="12.75" customHeight="1" x14ac:dyDescent="0.15">
      <c r="A12" s="14"/>
      <c r="B12" s="14"/>
      <c r="C12" s="14"/>
    </row>
    <row r="13" spans="1:3" ht="12.75" customHeight="1" x14ac:dyDescent="0.15">
      <c r="A13" s="14"/>
      <c r="B13" s="14"/>
      <c r="C13" s="14"/>
    </row>
    <row r="14" spans="1:3" ht="12.75" customHeight="1" x14ac:dyDescent="0.15">
      <c r="A14" s="14"/>
      <c r="B14" s="14"/>
      <c r="C14" s="14"/>
    </row>
  </sheetData>
  <printOptions horizontalCentered="1"/>
  <pageMargins left="1.1402777777777799" right="0.75" top="2.7298611111111102" bottom="1" header="1.9" footer="0.511811023622047"/>
  <pageSetup paperSize="9" orientation="portrait" horizontalDpi="300" verticalDpi="300"/>
  <headerFooter>
    <oddHeader>&amp;C&amp;11 - GLİ, 2022 -_x005F_x000a_KAZALILARIN YAŞLARINA GÖRE DAĞILIMI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8"/>
  <sheetViews>
    <sheetView zoomScaleNormal="100" workbookViewId="0">
      <selection activeCell="G28" sqref="G28"/>
    </sheetView>
  </sheetViews>
  <sheetFormatPr baseColWidth="10" defaultColWidth="8.83203125" defaultRowHeight="13" x14ac:dyDescent="0.15"/>
  <cols>
    <col min="1" max="1" width="8" customWidth="1"/>
    <col min="2" max="2" width="30" customWidth="1"/>
    <col min="3" max="3" width="8" customWidth="1"/>
  </cols>
  <sheetData>
    <row r="1" spans="1:3" ht="12.75" customHeight="1" x14ac:dyDescent="0.15">
      <c r="A1" s="5" t="s">
        <v>963</v>
      </c>
      <c r="B1" s="112" t="s">
        <v>964</v>
      </c>
      <c r="C1" s="5" t="s">
        <v>965</v>
      </c>
    </row>
    <row r="2" spans="1:3" ht="12.75" customHeight="1" x14ac:dyDescent="0.15">
      <c r="A2" s="152" t="s">
        <v>966</v>
      </c>
    </row>
    <row r="3" spans="1:3" ht="12.75" customHeight="1" x14ac:dyDescent="0.15">
      <c r="A3" s="88">
        <v>1</v>
      </c>
      <c r="B3" s="88" t="s">
        <v>967</v>
      </c>
      <c r="C3" s="88" t="s">
        <v>968</v>
      </c>
    </row>
    <row r="4" spans="1:3" ht="12.75" customHeight="1" x14ac:dyDescent="0.15">
      <c r="A4" s="88">
        <v>2</v>
      </c>
      <c r="B4" s="88" t="s">
        <v>969</v>
      </c>
      <c r="C4" s="88" t="s">
        <v>968</v>
      </c>
    </row>
    <row r="5" spans="1:3" ht="12.75" customHeight="1" x14ac:dyDescent="0.15">
      <c r="A5" s="88">
        <v>3</v>
      </c>
      <c r="B5" s="88" t="s">
        <v>777</v>
      </c>
      <c r="C5" s="88" t="s">
        <v>968</v>
      </c>
    </row>
    <row r="6" spans="1:3" ht="12.75" customHeight="1" x14ac:dyDescent="0.15">
      <c r="A6" s="88">
        <v>4</v>
      </c>
      <c r="B6" s="88" t="s">
        <v>970</v>
      </c>
      <c r="C6" s="88" t="s">
        <v>968</v>
      </c>
    </row>
    <row r="7" spans="1:3" ht="12.75" customHeight="1" x14ac:dyDescent="0.15">
      <c r="A7" s="88">
        <v>5</v>
      </c>
      <c r="B7" s="88" t="s">
        <v>779</v>
      </c>
      <c r="C7" s="88" t="s">
        <v>968</v>
      </c>
    </row>
    <row r="8" spans="1:3" ht="12.75" customHeight="1" x14ac:dyDescent="0.15">
      <c r="A8" s="88">
        <v>6</v>
      </c>
      <c r="B8" s="88" t="s">
        <v>971</v>
      </c>
      <c r="C8" s="88" t="s">
        <v>968</v>
      </c>
    </row>
    <row r="9" spans="1:3" ht="12.75" customHeight="1" x14ac:dyDescent="0.15">
      <c r="A9" s="88">
        <v>7</v>
      </c>
      <c r="B9" s="88" t="s">
        <v>781</v>
      </c>
      <c r="C9" s="88" t="s">
        <v>968</v>
      </c>
    </row>
    <row r="10" spans="1:3" ht="12.75" customHeight="1" x14ac:dyDescent="0.15">
      <c r="A10" s="88">
        <v>8</v>
      </c>
      <c r="B10" s="88" t="s">
        <v>782</v>
      </c>
      <c r="C10" s="88" t="s">
        <v>968</v>
      </c>
    </row>
    <row r="11" spans="1:3" ht="12.75" customHeight="1" x14ac:dyDescent="0.15">
      <c r="A11" s="88">
        <v>9</v>
      </c>
      <c r="B11" s="88" t="s">
        <v>783</v>
      </c>
      <c r="C11" s="88" t="s">
        <v>968</v>
      </c>
    </row>
    <row r="12" spans="1:3" ht="12.75" customHeight="1" x14ac:dyDescent="0.15">
      <c r="A12" s="88">
        <v>10</v>
      </c>
      <c r="B12" s="88" t="s">
        <v>784</v>
      </c>
      <c r="C12" s="88" t="s">
        <v>968</v>
      </c>
    </row>
    <row r="13" spans="1:3" ht="12.75" customHeight="1" x14ac:dyDescent="0.15">
      <c r="A13" s="88">
        <v>11</v>
      </c>
      <c r="B13" s="88" t="s">
        <v>785</v>
      </c>
      <c r="C13" s="88" t="s">
        <v>968</v>
      </c>
    </row>
    <row r="14" spans="1:3" ht="12.75" customHeight="1" x14ac:dyDescent="0.15">
      <c r="A14" s="88">
        <v>12</v>
      </c>
      <c r="B14" s="88" t="s">
        <v>786</v>
      </c>
      <c r="C14" s="88" t="s">
        <v>968</v>
      </c>
    </row>
    <row r="15" spans="1:3" ht="12.75" customHeight="1" x14ac:dyDescent="0.15">
      <c r="A15" s="88">
        <v>13</v>
      </c>
      <c r="B15" s="88" t="s">
        <v>787</v>
      </c>
      <c r="C15" s="88" t="s">
        <v>968</v>
      </c>
    </row>
    <row r="16" spans="1:3" ht="12.75" customHeight="1" x14ac:dyDescent="0.15">
      <c r="A16" s="88">
        <v>14</v>
      </c>
      <c r="B16" s="88" t="s">
        <v>788</v>
      </c>
      <c r="C16" s="88" t="s">
        <v>968</v>
      </c>
    </row>
    <row r="17" spans="1:3" ht="12.75" customHeight="1" x14ac:dyDescent="0.15">
      <c r="A17" s="88">
        <v>15</v>
      </c>
      <c r="B17" s="88" t="s">
        <v>789</v>
      </c>
      <c r="C17" s="88" t="s">
        <v>968</v>
      </c>
    </row>
    <row r="18" spans="1:3" ht="12.75" customHeight="1" x14ac:dyDescent="0.15">
      <c r="A18" s="88">
        <v>16</v>
      </c>
      <c r="B18" s="88" t="s">
        <v>790</v>
      </c>
      <c r="C18" s="88" t="s">
        <v>968</v>
      </c>
    </row>
    <row r="19" spans="1:3" ht="12.75" customHeight="1" x14ac:dyDescent="0.15">
      <c r="A19" s="88">
        <v>17</v>
      </c>
      <c r="B19" s="88" t="s">
        <v>972</v>
      </c>
      <c r="C19" s="88" t="s">
        <v>968</v>
      </c>
    </row>
    <row r="20" spans="1:3" ht="12.75" customHeight="1" x14ac:dyDescent="0.15">
      <c r="A20" s="88">
        <v>18</v>
      </c>
      <c r="B20" s="88" t="s">
        <v>792</v>
      </c>
      <c r="C20" s="88" t="s">
        <v>968</v>
      </c>
    </row>
    <row r="21" spans="1:3" ht="12.75" customHeight="1" x14ac:dyDescent="0.15">
      <c r="A21" s="88">
        <v>19</v>
      </c>
      <c r="B21" s="88" t="s">
        <v>973</v>
      </c>
      <c r="C21" s="88" t="s">
        <v>968</v>
      </c>
    </row>
    <row r="22" spans="1:3" ht="12.75" customHeight="1" x14ac:dyDescent="0.15">
      <c r="A22" s="88">
        <v>20</v>
      </c>
      <c r="B22" s="88" t="s">
        <v>794</v>
      </c>
      <c r="C22" s="88" t="s">
        <v>968</v>
      </c>
    </row>
    <row r="23" spans="1:3" ht="12.75" customHeight="1" x14ac:dyDescent="0.15">
      <c r="A23" s="88">
        <v>21</v>
      </c>
      <c r="B23" s="88" t="s">
        <v>974</v>
      </c>
      <c r="C23" s="88" t="s">
        <v>968</v>
      </c>
    </row>
    <row r="24" spans="1:3" ht="12.75" customHeight="1" x14ac:dyDescent="0.15">
      <c r="A24" s="88">
        <v>22</v>
      </c>
      <c r="B24" s="88" t="s">
        <v>975</v>
      </c>
      <c r="C24" s="88" t="s">
        <v>968</v>
      </c>
    </row>
    <row r="25" spans="1:3" ht="12.75" customHeight="1" x14ac:dyDescent="0.15">
      <c r="A25" s="88">
        <v>23</v>
      </c>
      <c r="B25" s="88" t="s">
        <v>797</v>
      </c>
      <c r="C25" s="88" t="s">
        <v>968</v>
      </c>
    </row>
    <row r="26" spans="1:3" ht="12.75" customHeight="1" x14ac:dyDescent="0.15">
      <c r="A26" s="88">
        <v>24</v>
      </c>
      <c r="B26" s="88" t="s">
        <v>798</v>
      </c>
      <c r="C26" s="88" t="s">
        <v>968</v>
      </c>
    </row>
    <row r="27" spans="1:3" ht="12.75" customHeight="1" x14ac:dyDescent="0.15">
      <c r="A27" s="88">
        <v>25</v>
      </c>
      <c r="B27" s="88" t="s">
        <v>799</v>
      </c>
      <c r="C27" s="88" t="s">
        <v>968</v>
      </c>
    </row>
    <row r="28" spans="1:3" ht="12.75" customHeight="1" x14ac:dyDescent="0.15">
      <c r="A28" s="88">
        <v>26</v>
      </c>
      <c r="B28" s="88" t="s">
        <v>800</v>
      </c>
      <c r="C28" s="88" t="s">
        <v>968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16</vt:i4>
      </vt:variant>
      <vt:variant>
        <vt:lpstr>Adlandırılmış Aralıklar</vt:lpstr>
      </vt:variant>
      <vt:variant>
        <vt:i4>8</vt:i4>
      </vt:variant>
    </vt:vector>
  </HeadingPairs>
  <TitlesOfParts>
    <vt:vector size="24" baseType="lpstr">
      <vt:lpstr>veri</vt:lpstr>
      <vt:lpstr>program</vt:lpstr>
      <vt:lpstr>kontrol</vt:lpstr>
      <vt:lpstr>Genel</vt:lpstr>
      <vt:lpstr>kazatürü</vt:lpstr>
      <vt:lpstr>kazatürüyer</vt:lpstr>
      <vt:lpstr>sanatyer</vt:lpstr>
      <vt:lpstr>sanatkazatürü</vt:lpstr>
      <vt:lpstr>kazatürüuzuv</vt:lpstr>
      <vt:lpstr>elletasima</vt:lpstr>
      <vt:lpstr>göcük</vt:lpstr>
      <vt:lpstr>düsme</vt:lpstr>
      <vt:lpstr>zaman</vt:lpstr>
      <vt:lpstr>uzuvgün</vt:lpstr>
      <vt:lpstr>yas</vt:lpstr>
      <vt:lpstr>Kod Eşleştirme</vt:lpstr>
      <vt:lpstr>Do?um_tarihi</vt:lpstr>
      <vt:lpstr>Doðum_tarihi</vt:lpstr>
      <vt:lpstr>program!Excel_BuiltIn__FilterDatabase</vt:lpstr>
      <vt:lpstr>veri!Excel_BuiltIn__FilterDatabase</vt:lpstr>
      <vt:lpstr>Gün_Kayıbı</vt:lpstr>
      <vt:lpstr>Gün_kayýbý</vt:lpstr>
      <vt:lpstr>sanat_neden</vt:lpstr>
      <vt:lpstr>veri!Yazdırma_Alanı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selami</dc:creator>
  <dc:description/>
  <cp:lastModifiedBy>Cem Can</cp:lastModifiedBy>
  <cp:revision>0</cp:revision>
  <cp:lastPrinted>2020-06-09T07:11:10Z</cp:lastPrinted>
  <dcterms:created xsi:type="dcterms:W3CDTF">2001-07-06T06:19:14Z</dcterms:created>
  <dcterms:modified xsi:type="dcterms:W3CDTF">2026-03-28T14:34:24Z</dcterms:modified>
  <dc:language>en-US</dc:language>
</cp:coreProperties>
</file>